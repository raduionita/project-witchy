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ymptom Grid" sheetId="2" state="visible" r:id="rId4"/>
    <sheet name="Daily Jour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<sst xmlns="http://schemas.openxmlformats.org/spreadsheetml/2006/main" count="312" uniqueCount="194">
  <si>
    <t xml:space="preserve">Cycle Symptom Tracker</t>
  </si>
  <si>
    <t xml:space="preserve">Combines the symptom categories found in Flo, Clue and Stardust, plus common cycle symptoms.</t>
  </si>
  <si>
    <t xml:space="preserve">How to use</t>
  </si>
  <si>
    <t xml:space="preserve">1.</t>
  </si>
  <si>
    <t xml:space="preserve">On 'Symptom Grid', enter the first day of your period in the yellow cell (C2). Dates fill in automatically.</t>
  </si>
  <si>
    <t xml:space="preserve">2.</t>
  </si>
  <si>
    <t xml:space="preserve">Each day, type 1, 2 or 3 in that day's column next to each symptom you felt (1 = mild, 2 = moderate, 3 = severe). Any mark counts.</t>
  </si>
  <si>
    <t xml:space="preserve">3.</t>
  </si>
  <si>
    <t xml:space="preserve">On 'Daily Journal', add one row per day for numbers such as sleep, water, temperature and weight.</t>
  </si>
  <si>
    <t xml:space="preserve">4.</t>
  </si>
  <si>
    <t xml:space="preserve">Check the totals on the right of 'Symptom Grid' to see which phase each symptom clusters in.</t>
  </si>
  <si>
    <t xml:space="preserve">5.</t>
  </si>
  <si>
    <t xml:space="preserve">Start a new copy of the file (or clear the marks) for each new cycle.</t>
  </si>
  <si>
    <t xml:space="preserve">Legend</t>
  </si>
  <si>
    <t xml:space="preserve">Yellow cell, blue text</t>
  </si>
  <si>
    <t xml:space="preserve">means: cells you fill in</t>
  </si>
  <si>
    <t xml:space="preserve">Black text</t>
  </si>
  <si>
    <t xml:space="preserve">means: formulas, do not edit</t>
  </si>
  <si>
    <t xml:space="preserve">Example of filling in the grid</t>
  </si>
  <si>
    <t xml:space="preserve">Symptom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</si>
  <si>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</si>
  <si>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</si>
  <si>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</si>
  <si>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</si>
  <si>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</si>
  <si>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Cramps</t>
  </si>
  <si>
    <t xml:space="preserve">Fatigue</t>
  </si>
  <si>
    <t xml:space="preserve">Irritable</t>
  </si>
  <si>
    <t xml:space="preserve">Example only. These marks are not in the real grid.</t>
  </si>
  <si>
    <t xml:space="preserve">Assumptions</t>
  </si>
  <si>
    <t xml:space="preserve">•</t>
  </si>
  <si>
    <t xml:space="preserve">Phase totals use fixed day ranges: Menstrual = days 1-5, Follicular = 6-13, Ovulation = 14-16, Luteal = 17-35.</t>
  </si>
  <si>
    <t xml:space="preserve">These are typical for a ~28-day cycle. Your own phases may fall on different days, so treat phase totals as a rough guide.</t>
  </si>
  <si>
    <t xml:space="preserve">The symptom list is compiled from app descriptions and general knowledge; exact options in each app may differ.</t>
  </si>
  <si>
    <t xml:space="preserve">This tracker is for personal tracking only and is not medical advice. Share it with a doctor if symptoms worry you.</t>
  </si>
  <si>
    <t xml:space="preserve">Symptom Grid</t>
  </si>
  <si>
    <t xml:space="preserve">Cycle start date (Day 1):</t>
  </si>
  <si>
    <t xml:space="preserve">Leave blank until you know it. Mark severity 1 (mild) to 3 (severe) under each day.</t>
  </si>
  <si>
    <t xml:space="preserve">Category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</si>
  <si>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</si>
  <si>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</si>
  <si>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</si>
  <si>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</si>
  <si>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</si>
  <si>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</si>
  <si>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</si>
  <si>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</si>
  <si>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</si>
  <si>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Day 15</t>
  </si>
  <si>
    <t xml:space="preserve">Day 16</t>
  </si>
  <si>
    <t xml:space="preserve">Day 17</t>
  </si>
  <si>
    <t xml:space="preserve">Day 18</t>
  </si>
  <si>
    <t xml:space="preserve">Day 19</t>
  </si>
  <si>
    <t xml:space="preserve">Day 20</t>
  </si>
  <si>
    <t xml:space="preserve">Day 21</t>
  </si>
  <si>
    <t xml:space="preserve">Day 22</t>
  </si>
  <si>
    <t xml:space="preserve">Day 23</t>
  </si>
  <si>
    <t xml:space="preserve">Day 24</t>
  </si>
  <si>
    <t xml:space="preserve">Day 25</t>
  </si>
  <si>
    <t xml:space="preserve">Day 26</t>
  </si>
  <si>
    <t xml:space="preserve">Day 27</t>
  </si>
  <si>
    <t xml:space="preserve">Day 28</t>
  </si>
  <si>
    <t xml:space="preserve">Day 29</t>
  </si>
  <si>
    <t xml:space="preserve">Day 30</t>
  </si>
  <si>
    <t xml:space="preserve">Day 31</t>
  </si>
  <si>
    <t xml:space="preserve">Day 32</t>
  </si>
  <si>
    <t xml:space="preserve">Day 33</t>
  </si>
  <si>
    <t xml:space="preserve">Day 34</t>
  </si>
  <si>
    <t xml:space="preserve">Day 35</t>
  </si>
  <si>
    <t xml:space="preserve">Total days</t>
  </si>
  <si>
    <t xml:space="preserve">Menstrual</t>
  </si>
  <si>
    <t xml:space="preserve">Follicular</t>
  </si>
  <si>
    <t xml:space="preserve">Ovulation</t>
  </si>
  <si>
    <t xml:space="preserve">Luteal</t>
  </si>
  <si>
    <t xml:space="preserve">Date</t>
  </si>
  <si>
    <t xml:space="preserve">Phase (assumed)</t>
  </si>
  <si>
    <t xml:space="preserve">Mens</t>
  </si>
  <si>
    <t xml:space="preserve">Foll</t>
  </si>
  <si>
    <t xml:space="preserve">Ovul</t>
  </si>
  <si>
    <t xml:space="preserve">Lute</t>
  </si>
  <si>
    <t xml:space="preserve">Period &amp; bleeding</t>
  </si>
  <si>
    <t xml:space="preserve">Light flow</t>
  </si>
  <si>
    <t xml:space="preserve">Medium flow</t>
  </si>
  <si>
    <t xml:space="preserve">Heavy flow</t>
  </si>
  <si>
    <t xml:space="preserve">Spotting</t>
  </si>
  <si>
    <t xml:space="preserve">Blood clots</t>
  </si>
  <si>
    <t xml:space="preserve">Pain &amp; body</t>
  </si>
  <si>
    <t xml:space="preserve">Abdominal pain</t>
  </si>
  <si>
    <t xml:space="preserve">Headache</t>
  </si>
  <si>
    <t xml:space="preserve">Migraine</t>
  </si>
  <si>
    <t xml:space="preserve">Backache</t>
  </si>
  <si>
    <t xml:space="preserve">Joint / muscle aches</t>
  </si>
  <si>
    <t xml:space="preserve">Ovulation pain</t>
  </si>
  <si>
    <t xml:space="preserve">Tender breasts</t>
  </si>
  <si>
    <t xml:space="preserve">Swelling</t>
  </si>
  <si>
    <t xml:space="preserve">Bloating</t>
  </si>
  <si>
    <t xml:space="preserve">Dizziness</t>
  </si>
  <si>
    <t xml:space="preserve">Hot flashes</t>
  </si>
  <si>
    <t xml:space="preserve">Night sweats</t>
  </si>
  <si>
    <t xml:space="preserve">Digestion</t>
  </si>
  <si>
    <t xml:space="preserve">Nausea</t>
  </si>
  <si>
    <t xml:space="preserve">Constipation</t>
  </si>
  <si>
    <t xml:space="preserve">Diarrhea</t>
  </si>
  <si>
    <t xml:space="preserve">Gas</t>
  </si>
  <si>
    <t xml:space="preserve">Skin &amp; hair</t>
  </si>
  <si>
    <t xml:space="preserve">Acne</t>
  </si>
  <si>
    <t xml:space="preserve">Oily skin</t>
  </si>
  <si>
    <t xml:space="preserve">Dry skin</t>
  </si>
  <si>
    <t xml:space="preserve">Good skin</t>
  </si>
  <si>
    <t xml:space="preserve">Oily hair</t>
  </si>
  <si>
    <t xml:space="preserve">Dry hair</t>
  </si>
  <si>
    <t xml:space="preserve">Hair changes</t>
  </si>
  <si>
    <t xml:space="preserve">Mood &amp; emotions</t>
  </si>
  <si>
    <t xml:space="preserve">Happy</t>
  </si>
  <si>
    <t xml:space="preserve">Calm</t>
  </si>
  <si>
    <t xml:space="preserve">Energetic</t>
  </si>
  <si>
    <t xml:space="preserve">Frisky</t>
  </si>
  <si>
    <t xml:space="preserve">Sensitive</t>
  </si>
  <si>
    <t xml:space="preserve">Sad</t>
  </si>
  <si>
    <t xml:space="preserve">Depressed</t>
  </si>
  <si>
    <t xml:space="preserve">Anxious</t>
  </si>
  <si>
    <t xml:space="preserve">Mood swings</t>
  </si>
  <si>
    <t xml:space="preserve">Guilty</t>
  </si>
  <si>
    <t xml:space="preserve">Self-critical</t>
  </si>
  <si>
    <t xml:space="preserve">Obsessive thoughts</t>
  </si>
  <si>
    <t xml:space="preserve">Apathetic</t>
  </si>
  <si>
    <t xml:space="preserve">Confused</t>
  </si>
  <si>
    <t xml:space="preserve">Overwhelmed</t>
  </si>
  <si>
    <t xml:space="preserve">Stressed</t>
  </si>
  <si>
    <t xml:space="preserve">Energy &amp; focus</t>
  </si>
  <si>
    <t xml:space="preserve">High energy</t>
  </si>
  <si>
    <t xml:space="preserve">Low energy</t>
  </si>
  <si>
    <t xml:space="preserve">Motivation</t>
  </si>
  <si>
    <t xml:space="preserve">Good focus</t>
  </si>
  <si>
    <t xml:space="preserve">Brain fog</t>
  </si>
  <si>
    <t xml:space="preserve">Cravings &amp; appetite</t>
  </si>
  <si>
    <t xml:space="preserve">Sweet cravings</t>
  </si>
  <si>
    <t xml:space="preserve">Salty cravings</t>
  </si>
  <si>
    <t xml:space="preserve">Carb cravings</t>
  </si>
  <si>
    <t xml:space="preserve">Chocolate cravings</t>
  </si>
  <si>
    <t xml:space="preserve">Increased appetite</t>
  </si>
  <si>
    <t xml:space="preserve">Decreased appetite</t>
  </si>
  <si>
    <t xml:space="preserve">Discharge / fluid</t>
  </si>
  <si>
    <t xml:space="preserve">Dry / none</t>
  </si>
  <si>
    <t xml:space="preserve">Sticky</t>
  </si>
  <si>
    <t xml:space="preserve">Creamy</t>
  </si>
  <si>
    <t xml:space="preserve">Watery</t>
  </si>
  <si>
    <t xml:space="preserve">Egg white</t>
  </si>
  <si>
    <t xml:space="preserve">Unusual discharge</t>
  </si>
  <si>
    <t xml:space="preserve">Sex &amp; sex drive</t>
  </si>
  <si>
    <t xml:space="preserve">High sex drive</t>
  </si>
  <si>
    <t xml:space="preserve">Low sex drive</t>
  </si>
  <si>
    <t xml:space="preserve">Protected sex</t>
  </si>
  <si>
    <t xml:space="preserve">Unprotected sex</t>
  </si>
  <si>
    <t xml:space="preserve">Masturbation</t>
  </si>
  <si>
    <t xml:space="preserve">Orgasm</t>
  </si>
  <si>
    <t xml:space="preserve">Sleep</t>
  </si>
  <si>
    <t xml:space="preserve">Good sleep</t>
  </si>
  <si>
    <t xml:space="preserve">Insomnia</t>
  </si>
  <si>
    <t xml:space="preserve">Sleep disturbances</t>
  </si>
  <si>
    <t xml:space="preserve">Sleeping more than usual</t>
  </si>
  <si>
    <t xml:space="preserve">Vivid dreams</t>
  </si>
  <si>
    <t xml:space="preserve">Lifestyle</t>
  </si>
  <si>
    <t xml:space="preserve">Exercise</t>
  </si>
  <si>
    <t xml:space="preserve">Social activity</t>
  </si>
  <si>
    <t xml:space="preserve">Alcohol</t>
  </si>
  <si>
    <t xml:space="preserve">Good water intake</t>
  </si>
  <si>
    <t xml:space="preserve">Medication &amp; tests</t>
  </si>
  <si>
    <t xml:space="preserve">Birth control taken</t>
  </si>
  <si>
    <t xml:space="preserve">Other medication</t>
  </si>
  <si>
    <t xml:space="preserve">Supplements</t>
  </si>
  <si>
    <t xml:space="preserve">Ovulation test positive</t>
  </si>
  <si>
    <t xml:space="preserve">Pregnancy test</t>
  </si>
  <si>
    <t xml:space="preserve">Daily Journal</t>
  </si>
  <si>
    <t xml:space="preserve">Row 5 (grey italic) is an example. Enter your own days from row 6 down.</t>
  </si>
  <si>
    <t xml:space="preserve">Cycle day</t>
  </si>
  <si>
    <t xml:space="preserve">Flow</t>
  </si>
  <si>
    <t xml:space="preserve">Mood (1-5)</t>
  </si>
  <si>
    <t xml:space="preserve">Energy (1-5)</t>
  </si>
  <si>
    <t xml:space="preserve">Pain (0-10)</t>
  </si>
  <si>
    <t xml:space="preserve">Sleep (hours)</t>
  </si>
  <si>
    <t xml:space="preserve">Sleep quality (1-5)</t>
  </si>
  <si>
    <t xml:space="preserve">Water (glasses)</t>
  </si>
  <si>
    <t xml:space="preserve">Temp (°C)</t>
  </si>
  <si>
    <t xml:space="preserve">Weight (kg)</t>
  </si>
  <si>
    <t xml:space="preserve">Discharge</t>
  </si>
  <si>
    <t xml:space="preserve">Sex</t>
  </si>
  <si>
    <t xml:space="preserve">Medication / birth control</t>
  </si>
  <si>
    <t xml:space="preserve">Notes</t>
  </si>
  <si>
    <t xml:space="preserve">Medium</t>
  </si>
  <si>
    <t xml:space="preserve">None</t>
  </si>
  <si>
    <t xml:space="preserve">Rest day</t>
  </si>
  <si>
    <t xml:space="preserve">Ibuprofen 400 mg</t>
  </si>
  <si>
    <t xml:space="preserve">Bad cramps in the morning, better after a heat pack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</si>
</sst>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dd\-mmm"/>
    <numFmt numFmtId="167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3A6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5B3A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5B3A6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9DB"/>
        <bgColor rgb="FFFFF2CC"/>
      </patternFill>
    </fill>
    <fill>
      <patternFill patternType="solid">
        <fgColor rgb="FF5B3A6B"/>
        <bgColor rgb="FF595959"/>
      </patternFill>
    </fill>
    <fill>
      <patternFill patternType="solid">
        <fgColor rgb="FFF4CCCC"/>
        <bgColor rgb="FFEAD1D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FF9DB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CFE2F3"/>
      </patternFill>
    </fill>
    <fill>
      <patternFill patternType="solid">
        <fgColor rgb="FFCFE2F3"/>
        <bgColor rgb="FFD0E0E3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FF2CC"/>
      <rgbColor rgb="FFFCE5CD"/>
      <rgbColor rgb="FFEAD1D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5B3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6" t="s">
        <v>14</v>
      </c>
      <c r="B11" s="5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</row>
    <row r="14" customFormat="false" ht="15" hidden="false" customHeight="false" outlineLevel="0" collapsed="false">
      <c r="A14" s="3" t="s">
        <v>18</v>
      </c>
    </row>
    <row r="15" customFormat="false" ht="15" hidden="false" customHeight="false" outlineLevel="0" collapsed="false">
      <c r="A15" s="7" t="s">
        <v>19</v>
      </c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</row>
    <row r="16" customFormat="false" ht="15" hidden="false" customHeight="false" outlineLevel="0" collapsed="false">
      <c r="A16" s="8" t="s">
        <v>25</v>
      </c>
      <c r="B16" s="9" t="n">
        <v>3</v>
      </c>
      <c r="C16" s="9" t="n">
        <v>2</v>
      </c>
      <c r="D16" s="9" t="n">
        <v>1</v>
      </c>
      <c r="E16" s="9"/>
      <c r="F16" s="9"/>
    </row>
    <row r="17" customFormat="false" ht="15" hidden="false" customHeight="false" outlineLevel="0" collapsed="false">
      <c r="A17" s="8" t="s">
        <v>26</v>
      </c>
      <c r="B17" s="9" t="n">
        <v>2</v>
      </c>
      <c r="C17" s="9" t="n">
        <v>2</v>
      </c>
      <c r="D17" s="9" t="n">
        <v>1</v>
      </c>
      <c r="E17" s="9" t="n">
        <v>1</v>
      </c>
      <c r="F17" s="9"/>
    </row>
    <row r="18" customFormat="false" ht="15" hidden="false" customHeight="false" outlineLevel="0" collapsed="false">
      <c r="A18" s="8" t="s">
        <v>27</v>
      </c>
      <c r="B18" s="9"/>
      <c r="C18" s="9"/>
      <c r="D18" s="9"/>
      <c r="E18" s="9" t="n">
        <v>2</v>
      </c>
      <c r="F18" s="9" t="n">
        <v>1</v>
      </c>
    </row>
    <row r="19" customFormat="false" ht="15" hidden="false" customHeight="false" outlineLevel="0" collapsed="false">
      <c r="A19" s="10" t="s">
        <v>28</v>
      </c>
    </row>
    <row r="21" customFormat="false" ht="15" hidden="false" customHeight="false" outlineLevel="0" collapsed="false">
      <c r="A21" s="3" t="s">
        <v>29</v>
      </c>
    </row>
    <row r="22" customFormat="false" ht="15" hidden="false" customHeight="false" outlineLevel="0" collapsed="false">
      <c r="A22" s="5" t="s">
        <v>30</v>
      </c>
      <c r="B22" s="5" t="s">
        <v>31</v>
      </c>
    </row>
    <row r="23" customFormat="false" ht="15" hidden="false" customHeight="false" outlineLevel="0" collapsed="false">
      <c r="A23" s="5" t="s">
        <v>30</v>
      </c>
      <c r="B23" s="5" t="s">
        <v>32</v>
      </c>
    </row>
    <row r="24" customFormat="false" ht="15" hidden="false" customHeight="false" outlineLevel="0" collapsed="false">
      <c r="A24" s="5" t="s">
        <v>30</v>
      </c>
      <c r="B24" s="5" t="s">
        <v>33</v>
      </c>
    </row>
    <row r="25" customFormat="false" ht="15" hidden="false" customHeight="false" outlineLevel="0" collapsed="false">
      <c r="A25" s="5" t="s">
        <v>30</v>
      </c>
      <c r="B25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9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7" min="3" style="0" width="5.51"/>
    <col collapsed="false" customWidth="true" hidden="false" outlineLevel="0" max="38" min="38" style="0" width="10"/>
    <col collapsed="false" customWidth="true" hidden="false" outlineLevel="0" max="42" min="39" style="0" width="11"/>
  </cols>
  <sheetData>
    <row r="1" customFormat="false" ht="17.35" hidden="false" customHeight="false" outlineLevel="0" collapsed="false">
      <c r="A1" s="11" t="s">
        <v>35</v>
      </c>
    </row>
    <row r="2" customFormat="false" ht="15" hidden="false" customHeight="false" outlineLevel="0" collapsed="false">
      <c r="A2" s="4" t="s">
        <v>36</v>
      </c>
      <c r="C2" s="12"/>
      <c r="D2" s="12"/>
      <c r="E2" s="12"/>
      <c r="G2" s="13" t="s">
        <v>37</v>
      </c>
    </row>
    <row r="4" customFormat="false" ht="30" hidden="false" customHeight="true" outlineLevel="0" collapsed="false">
      <c r="A4" s="14" t="s">
        <v>38</v>
      </c>
      <c r="B4" s="14" t="s">
        <v>19</v>
      </c>
      <c r="C4" s="14" t="s">
        <v>20</v>
      </c>
      <c r="D4" s="14" t="s">
        <v>21</v>
      </c>
      <c r="E4" s="14" t="s">
        <v>22</v>
      </c>
      <c r="F4" s="14" t="s">
        <v>23</v>
      </c>
      <c r="G4" s="14" t="s">
        <v>24</v>
      </c>
      <c r="H4" s="14" t="s">
        <v>39</v>
      </c>
      <c r="I4" s="14" t="s">
        <v>40</v>
      </c>
      <c r="J4" s="14" t="s">
        <v>41</v>
      </c>
      <c r="K4" s="14" t="s">
        <v>42</v>
      </c>
      <c r="L4" s="14" t="s">
        <v>43</v>
      </c>
      <c r="M4" s="14" t="s">
        <v>44</v>
      </c>
      <c r="N4" s="14" t="s">
        <v>45</v>
      </c>
      <c r="O4" s="14" t="s">
        <v>46</v>
      </c>
      <c r="P4" s="14" t="s">
        <v>47</v>
      </c>
      <c r="Q4" s="14" t="s">
        <v>48</v>
      </c>
      <c r="R4" s="14" t="s">
        <v>49</v>
      </c>
      <c r="S4" s="14" t="s">
        <v>50</v>
      </c>
      <c r="T4" s="14" t="s">
        <v>51</v>
      </c>
      <c r="U4" s="14" t="s">
        <v>52</v>
      </c>
      <c r="V4" s="14" t="s">
        <v>53</v>
      </c>
      <c r="W4" s="14" t="s">
        <v>54</v>
      </c>
      <c r="X4" s="14" t="s">
        <v>55</v>
      </c>
      <c r="Y4" s="14" t="s">
        <v>56</v>
      </c>
      <c r="Z4" s="14" t="s">
        <v>57</v>
      </c>
      <c r="AA4" s="14" t="s">
        <v>58</v>
      </c>
      <c r="AB4" s="14" t="s">
        <v>59</v>
      </c>
      <c r="AC4" s="14" t="s">
        <v>60</v>
      </c>
      <c r="AD4" s="14" t="s">
        <v>61</v>
      </c>
      <c r="AE4" s="14" t="s">
        <v>62</v>
      </c>
      <c r="AF4" s="14" t="s">
        <v>63</v>
      </c>
      <c r="AG4" s="14" t="s">
        <v>64</v>
      </c>
      <c r="AH4" s="14" t="s">
        <v>65</v>
      </c>
      <c r="AI4" s="14" t="s">
        <v>66</v>
      </c>
      <c r="AJ4" s="14" t="s">
        <v>67</v>
      </c>
      <c r="AK4" s="14" t="s">
        <v>68</v>
      </c>
      <c r="AL4" s="14" t="s">
        <v>69</v>
      </c>
      <c r="AM4" s="14" t="s">
        <v>70</v>
      </c>
      <c r="AN4" s="14" t="s">
        <v>71</v>
      </c>
      <c r="AO4" s="14" t="s">
        <v>72</v>
      </c>
      <c r="AP4" s="14" t="s">
        <v>73</v>
      </c>
    </row>
    <row r="5" customFormat="false" ht="15" hidden="false" customHeight="false" outlineLevel="0" collapsed="false">
      <c r="A5" s="15" t="s">
        <v>74</v>
      </c>
      <c r="C5" s="16" t="str">
        <f aca="false">IF($C$2="","",$C$2+0)</f>
        <v/>
      </c>
      <c r="D5" s="16" t="str">
        <f aca="false">IF($C$2="","",$C$2+1)</f>
        <v/>
      </c>
      <c r="E5" s="16" t="str">
        <f aca="false">IF($C$2="","",$C$2+2)</f>
        <v/>
      </c>
      <c r="F5" s="16" t="str">
        <f aca="false">IF($C$2="","",$C$2+3)</f>
        <v/>
      </c>
      <c r="G5" s="16" t="str">
        <f aca="false">IF($C$2="","",$C$2+4)</f>
        <v/>
      </c>
      <c r="H5" s="16" t="str">
        <f aca="false">IF($C$2="","",$C$2+5)</f>
        <v/>
      </c>
      <c r="I5" s="16" t="str">
        <f aca="false">IF($C$2="","",$C$2+6)</f>
        <v/>
      </c>
      <c r="J5" s="16" t="str">
        <f aca="false">IF($C$2="","",$C$2+7)</f>
        <v/>
      </c>
      <c r="K5" s="16" t="str">
        <f aca="false">IF($C$2="","",$C$2+8)</f>
        <v/>
      </c>
      <c r="L5" s="16" t="str">
        <f aca="false">IF($C$2="","",$C$2+9)</f>
        <v/>
      </c>
      <c r="M5" s="16" t="str">
        <f aca="false">IF($C$2="","",$C$2+10)</f>
        <v/>
      </c>
      <c r="N5" s="16" t="str">
        <f aca="false">IF($C$2="","",$C$2+11)</f>
        <v/>
      </c>
      <c r="O5" s="16" t="str">
        <f aca="false">IF($C$2="","",$C$2+12)</f>
        <v/>
      </c>
      <c r="P5" s="16" t="str">
        <f aca="false">IF($C$2="","",$C$2+13)</f>
        <v/>
      </c>
      <c r="Q5" s="16" t="str">
        <f aca="false">IF($C$2="","",$C$2+14)</f>
        <v/>
      </c>
      <c r="R5" s="16" t="str">
        <f aca="false">IF($C$2="","",$C$2+15)</f>
        <v/>
      </c>
      <c r="S5" s="16" t="str">
        <f aca="false">IF($C$2="","",$C$2+16)</f>
        <v/>
      </c>
      <c r="T5" s="16" t="str">
        <f aca="false">IF($C$2="","",$C$2+17)</f>
        <v/>
      </c>
      <c r="U5" s="16" t="str">
        <f aca="false">IF($C$2="","",$C$2+18)</f>
        <v/>
      </c>
      <c r="V5" s="16" t="str">
        <f aca="false">IF($C$2="","",$C$2+19)</f>
        <v/>
      </c>
      <c r="W5" s="16" t="str">
        <f aca="false">IF($C$2="","",$C$2+20)</f>
        <v/>
      </c>
      <c r="X5" s="16" t="str">
        <f aca="false">IF($C$2="","",$C$2+21)</f>
        <v/>
      </c>
      <c r="Y5" s="16" t="str">
        <f aca="false">IF($C$2="","",$C$2+22)</f>
        <v/>
      </c>
      <c r="Z5" s="16" t="str">
        <f aca="false">IF($C$2="","",$C$2+23)</f>
        <v/>
      </c>
      <c r="AA5" s="16" t="str">
        <f aca="false">IF($C$2="","",$C$2+24)</f>
        <v/>
      </c>
      <c r="AB5" s="16" t="str">
        <f aca="false">IF($C$2="","",$C$2+25)</f>
        <v/>
      </c>
      <c r="AC5" s="16" t="str">
        <f aca="false">IF($C$2="","",$C$2+26)</f>
        <v/>
      </c>
      <c r="AD5" s="16" t="str">
        <f aca="false">IF($C$2="","",$C$2+27)</f>
        <v/>
      </c>
      <c r="AE5" s="16" t="str">
        <f aca="false">IF($C$2="","",$C$2+28)</f>
        <v/>
      </c>
      <c r="AF5" s="16" t="str">
        <f aca="false">IF($C$2="","",$C$2+29)</f>
        <v/>
      </c>
      <c r="AG5" s="16" t="str">
        <f aca="false">IF($C$2="","",$C$2+30)</f>
        <v/>
      </c>
      <c r="AH5" s="16" t="str">
        <f aca="false">IF($C$2="","",$C$2+31)</f>
        <v/>
      </c>
      <c r="AI5" s="16" t="str">
        <f aca="false">IF($C$2="","",$C$2+32)</f>
        <v/>
      </c>
      <c r="AJ5" s="16" t="str">
        <f aca="false">IF($C$2="","",$C$2+33)</f>
        <v/>
      </c>
      <c r="AK5" s="16" t="str">
        <f aca="false">IF($C$2="","",$C$2+34)</f>
        <v/>
      </c>
    </row>
    <row r="6" customFormat="false" ht="15" hidden="false" customHeight="false" outlineLevel="0" collapsed="false">
      <c r="A6" s="15" t="s">
        <v>75</v>
      </c>
      <c r="C6" s="17" t="s">
        <v>76</v>
      </c>
      <c r="D6" s="17" t="s">
        <v>76</v>
      </c>
      <c r="E6" s="17" t="s">
        <v>76</v>
      </c>
      <c r="F6" s="17" t="s">
        <v>76</v>
      </c>
      <c r="G6" s="17" t="s">
        <v>76</v>
      </c>
      <c r="H6" s="17" t="s">
        <v>77</v>
      </c>
      <c r="I6" s="17" t="s">
        <v>77</v>
      </c>
      <c r="J6" s="17" t="s">
        <v>77</v>
      </c>
      <c r="K6" s="17" t="s">
        <v>77</v>
      </c>
      <c r="L6" s="17" t="s">
        <v>77</v>
      </c>
      <c r="M6" s="17" t="s">
        <v>77</v>
      </c>
      <c r="N6" s="17" t="s">
        <v>77</v>
      </c>
      <c r="O6" s="17" t="s">
        <v>77</v>
      </c>
      <c r="P6" s="17" t="s">
        <v>78</v>
      </c>
      <c r="Q6" s="17" t="s">
        <v>78</v>
      </c>
      <c r="R6" s="17" t="s">
        <v>78</v>
      </c>
      <c r="S6" s="17" t="s">
        <v>79</v>
      </c>
      <c r="T6" s="17" t="s">
        <v>79</v>
      </c>
      <c r="U6" s="17" t="s">
        <v>79</v>
      </c>
      <c r="V6" s="17" t="s">
        <v>79</v>
      </c>
      <c r="W6" s="17" t="s">
        <v>79</v>
      </c>
      <c r="X6" s="17" t="s">
        <v>79</v>
      </c>
      <c r="Y6" s="17" t="s">
        <v>79</v>
      </c>
      <c r="Z6" s="17" t="s">
        <v>79</v>
      </c>
      <c r="AA6" s="17" t="s">
        <v>79</v>
      </c>
      <c r="AB6" s="17" t="s">
        <v>79</v>
      </c>
      <c r="AC6" s="17" t="s">
        <v>79</v>
      </c>
      <c r="AD6" s="17" t="s">
        <v>79</v>
      </c>
      <c r="AE6" s="17" t="s">
        <v>79</v>
      </c>
      <c r="AF6" s="17" t="s">
        <v>79</v>
      </c>
      <c r="AG6" s="17" t="s">
        <v>79</v>
      </c>
      <c r="AH6" s="17" t="s">
        <v>79</v>
      </c>
      <c r="AI6" s="17" t="s">
        <v>79</v>
      </c>
      <c r="AJ6" s="17" t="s">
        <v>79</v>
      </c>
      <c r="AK6" s="17" t="s">
        <v>79</v>
      </c>
    </row>
    <row r="7" customFormat="false" ht="15" hidden="false" customHeight="false" outlineLevel="0" collapsed="false">
      <c r="A7" s="18" t="s">
        <v>80</v>
      </c>
      <c r="B7" s="19" t="s">
        <v>81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20" t="n">
        <f aca="false">COUNTA(C7:AK7)</f>
        <v>0</v>
      </c>
      <c r="AM7" s="21" t="n">
        <f aca="false">COUNTA(C7:G7)</f>
        <v>0</v>
      </c>
      <c r="AN7" s="21" t="n">
        <f aca="false">COUNTA(H7:O7)</f>
        <v>0</v>
      </c>
      <c r="AO7" s="21" t="n">
        <f aca="false">COUNTA(P7:R7)</f>
        <v>0</v>
      </c>
      <c r="AP7" s="21" t="n">
        <f aca="false">COUNTA(S7:AK7)</f>
        <v>0</v>
      </c>
    </row>
    <row r="8" customFormat="false" ht="15" hidden="false" customHeight="false" outlineLevel="0" collapsed="false">
      <c r="A8" s="18" t="s">
        <v>80</v>
      </c>
      <c r="B8" s="19" t="s">
        <v>82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20" t="n">
        <f aca="false">COUNTA(C8:AK8)</f>
        <v>0</v>
      </c>
      <c r="AM8" s="21" t="n">
        <f aca="false">COUNTA(C8:G8)</f>
        <v>0</v>
      </c>
      <c r="AN8" s="21" t="n">
        <f aca="false">COUNTA(H8:O8)</f>
        <v>0</v>
      </c>
      <c r="AO8" s="21" t="n">
        <f aca="false">COUNTA(P8:R8)</f>
        <v>0</v>
      </c>
      <c r="AP8" s="21" t="n">
        <f aca="false">COUNTA(S8:AK8)</f>
        <v>0</v>
      </c>
    </row>
    <row r="9" customFormat="false" ht="15" hidden="false" customHeight="false" outlineLevel="0" collapsed="false">
      <c r="A9" s="18" t="s">
        <v>80</v>
      </c>
      <c r="B9" s="19" t="s">
        <v>83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20" t="n">
        <f aca="false">COUNTA(C9:AK9)</f>
        <v>0</v>
      </c>
      <c r="AM9" s="21" t="n">
        <f aca="false">COUNTA(C9:G9)</f>
        <v>0</v>
      </c>
      <c r="AN9" s="21" t="n">
        <f aca="false">COUNTA(H9:O9)</f>
        <v>0</v>
      </c>
      <c r="AO9" s="21" t="n">
        <f aca="false">COUNTA(P9:R9)</f>
        <v>0</v>
      </c>
      <c r="AP9" s="21" t="n">
        <f aca="false">COUNTA(S9:AK9)</f>
        <v>0</v>
      </c>
    </row>
    <row r="10" customFormat="false" ht="15" hidden="false" customHeight="false" outlineLevel="0" collapsed="false">
      <c r="A10" s="18" t="s">
        <v>80</v>
      </c>
      <c r="B10" s="19" t="s">
        <v>84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20" t="n">
        <f aca="false">COUNTA(C10:AK10)</f>
        <v>0</v>
      </c>
      <c r="AM10" s="21" t="n">
        <f aca="false">COUNTA(C10:G10)</f>
        <v>0</v>
      </c>
      <c r="AN10" s="21" t="n">
        <f aca="false">COUNTA(H10:O10)</f>
        <v>0</v>
      </c>
      <c r="AO10" s="21" t="n">
        <f aca="false">COUNTA(P10:R10)</f>
        <v>0</v>
      </c>
      <c r="AP10" s="21" t="n">
        <f aca="false">COUNTA(S10:AK10)</f>
        <v>0</v>
      </c>
    </row>
    <row r="11" customFormat="false" ht="15" hidden="false" customHeight="false" outlineLevel="0" collapsed="false">
      <c r="A11" s="18" t="s">
        <v>80</v>
      </c>
      <c r="B11" s="19" t="s">
        <v>85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20" t="n">
        <f aca="false">COUNTA(C11:AK11)</f>
        <v>0</v>
      </c>
      <c r="AM11" s="21" t="n">
        <f aca="false">COUNTA(C11:G11)</f>
        <v>0</v>
      </c>
      <c r="AN11" s="21" t="n">
        <f aca="false">COUNTA(H11:O11)</f>
        <v>0</v>
      </c>
      <c r="AO11" s="21" t="n">
        <f aca="false">COUNTA(P11:R11)</f>
        <v>0</v>
      </c>
      <c r="AP11" s="21" t="n">
        <f aca="false">COUNTA(S11:AK11)</f>
        <v>0</v>
      </c>
    </row>
    <row r="12" customFormat="false" ht="15" hidden="false" customHeight="false" outlineLevel="0" collapsed="false">
      <c r="A12" s="22" t="s">
        <v>86</v>
      </c>
      <c r="B12" s="19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20" t="n">
        <f aca="false">COUNTA(C12:AK12)</f>
        <v>0</v>
      </c>
      <c r="AM12" s="21" t="n">
        <f aca="false">COUNTA(C12:G12)</f>
        <v>0</v>
      </c>
      <c r="AN12" s="21" t="n">
        <f aca="false">COUNTA(H12:O12)</f>
        <v>0</v>
      </c>
      <c r="AO12" s="21" t="n">
        <f aca="false">COUNTA(P12:R12)</f>
        <v>0</v>
      </c>
      <c r="AP12" s="21" t="n">
        <f aca="false">COUNTA(S12:AK12)</f>
        <v>0</v>
      </c>
    </row>
    <row r="13" customFormat="false" ht="15" hidden="false" customHeight="false" outlineLevel="0" collapsed="false">
      <c r="A13" s="22" t="s">
        <v>86</v>
      </c>
      <c r="B13" s="19" t="s">
        <v>87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20" t="n">
        <f aca="false">COUNTA(C13:AK13)</f>
        <v>0</v>
      </c>
      <c r="AM13" s="21" t="n">
        <f aca="false">COUNTA(C13:G13)</f>
        <v>0</v>
      </c>
      <c r="AN13" s="21" t="n">
        <f aca="false">COUNTA(H13:O13)</f>
        <v>0</v>
      </c>
      <c r="AO13" s="21" t="n">
        <f aca="false">COUNTA(P13:R13)</f>
        <v>0</v>
      </c>
      <c r="AP13" s="21" t="n">
        <f aca="false">COUNTA(S13:AK13)</f>
        <v>0</v>
      </c>
    </row>
    <row r="14" customFormat="false" ht="15" hidden="false" customHeight="false" outlineLevel="0" collapsed="false">
      <c r="A14" s="22" t="s">
        <v>86</v>
      </c>
      <c r="B14" s="19" t="s">
        <v>88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20" t="n">
        <f aca="false">COUNTA(C14:AK14)</f>
        <v>0</v>
      </c>
      <c r="AM14" s="21" t="n">
        <f aca="false">COUNTA(C14:G14)</f>
        <v>0</v>
      </c>
      <c r="AN14" s="21" t="n">
        <f aca="false">COUNTA(H14:O14)</f>
        <v>0</v>
      </c>
      <c r="AO14" s="21" t="n">
        <f aca="false">COUNTA(P14:R14)</f>
        <v>0</v>
      </c>
      <c r="AP14" s="21" t="n">
        <f aca="false">COUNTA(S14:AK14)</f>
        <v>0</v>
      </c>
    </row>
    <row r="15" customFormat="false" ht="15" hidden="false" customHeight="false" outlineLevel="0" collapsed="false">
      <c r="A15" s="22" t="s">
        <v>86</v>
      </c>
      <c r="B15" s="19" t="s">
        <v>89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20" t="n">
        <f aca="false">COUNTA(C15:AK15)</f>
        <v>0</v>
      </c>
      <c r="AM15" s="21" t="n">
        <f aca="false">COUNTA(C15:G15)</f>
        <v>0</v>
      </c>
      <c r="AN15" s="21" t="n">
        <f aca="false">COUNTA(H15:O15)</f>
        <v>0</v>
      </c>
      <c r="AO15" s="21" t="n">
        <f aca="false">COUNTA(P15:R15)</f>
        <v>0</v>
      </c>
      <c r="AP15" s="21" t="n">
        <f aca="false">COUNTA(S15:AK15)</f>
        <v>0</v>
      </c>
    </row>
    <row r="16" customFormat="false" ht="15" hidden="false" customHeight="false" outlineLevel="0" collapsed="false">
      <c r="A16" s="22" t="s">
        <v>86</v>
      </c>
      <c r="B16" s="19" t="s">
        <v>90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20" t="n">
        <f aca="false">COUNTA(C16:AK16)</f>
        <v>0</v>
      </c>
      <c r="AM16" s="21" t="n">
        <f aca="false">COUNTA(C16:G16)</f>
        <v>0</v>
      </c>
      <c r="AN16" s="21" t="n">
        <f aca="false">COUNTA(H16:O16)</f>
        <v>0</v>
      </c>
      <c r="AO16" s="21" t="n">
        <f aca="false">COUNTA(P16:R16)</f>
        <v>0</v>
      </c>
      <c r="AP16" s="21" t="n">
        <f aca="false">COUNTA(S16:AK16)</f>
        <v>0</v>
      </c>
    </row>
    <row r="17" customFormat="false" ht="15" hidden="false" customHeight="false" outlineLevel="0" collapsed="false">
      <c r="A17" s="22" t="s">
        <v>86</v>
      </c>
      <c r="B17" s="19" t="s">
        <v>91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20" t="n">
        <f aca="false">COUNTA(C17:AK17)</f>
        <v>0</v>
      </c>
      <c r="AM17" s="21" t="n">
        <f aca="false">COUNTA(C17:G17)</f>
        <v>0</v>
      </c>
      <c r="AN17" s="21" t="n">
        <f aca="false">COUNTA(H17:O17)</f>
        <v>0</v>
      </c>
      <c r="AO17" s="21" t="n">
        <f aca="false">COUNTA(P17:R17)</f>
        <v>0</v>
      </c>
      <c r="AP17" s="21" t="n">
        <f aca="false">COUNTA(S17:AK17)</f>
        <v>0</v>
      </c>
    </row>
    <row r="18" customFormat="false" ht="15" hidden="false" customHeight="false" outlineLevel="0" collapsed="false">
      <c r="A18" s="22" t="s">
        <v>86</v>
      </c>
      <c r="B18" s="19" t="s">
        <v>92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20" t="n">
        <f aca="false">COUNTA(C18:AK18)</f>
        <v>0</v>
      </c>
      <c r="AM18" s="21" t="n">
        <f aca="false">COUNTA(C18:G18)</f>
        <v>0</v>
      </c>
      <c r="AN18" s="21" t="n">
        <f aca="false">COUNTA(H18:O18)</f>
        <v>0</v>
      </c>
      <c r="AO18" s="21" t="n">
        <f aca="false">COUNTA(P18:R18)</f>
        <v>0</v>
      </c>
      <c r="AP18" s="21" t="n">
        <f aca="false">COUNTA(S18:AK18)</f>
        <v>0</v>
      </c>
    </row>
    <row r="19" customFormat="false" ht="15" hidden="false" customHeight="false" outlineLevel="0" collapsed="false">
      <c r="A19" s="22" t="s">
        <v>86</v>
      </c>
      <c r="B19" s="19" t="s">
        <v>93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20" t="n">
        <f aca="false">COUNTA(C19:AK19)</f>
        <v>0</v>
      </c>
      <c r="AM19" s="21" t="n">
        <f aca="false">COUNTA(C19:G19)</f>
        <v>0</v>
      </c>
      <c r="AN19" s="21" t="n">
        <f aca="false">COUNTA(H19:O19)</f>
        <v>0</v>
      </c>
      <c r="AO19" s="21" t="n">
        <f aca="false">COUNTA(P19:R19)</f>
        <v>0</v>
      </c>
      <c r="AP19" s="21" t="n">
        <f aca="false">COUNTA(S19:AK19)</f>
        <v>0</v>
      </c>
    </row>
    <row r="20" customFormat="false" ht="15" hidden="false" customHeight="false" outlineLevel="0" collapsed="false">
      <c r="A20" s="22" t="s">
        <v>86</v>
      </c>
      <c r="B20" s="19" t="s">
        <v>94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20" t="n">
        <f aca="false">COUNTA(C20:AK20)</f>
        <v>0</v>
      </c>
      <c r="AM20" s="21" t="n">
        <f aca="false">COUNTA(C20:G20)</f>
        <v>0</v>
      </c>
      <c r="AN20" s="21" t="n">
        <f aca="false">COUNTA(H20:O20)</f>
        <v>0</v>
      </c>
      <c r="AO20" s="21" t="n">
        <f aca="false">COUNTA(P20:R20)</f>
        <v>0</v>
      </c>
      <c r="AP20" s="21" t="n">
        <f aca="false">COUNTA(S20:AK20)</f>
        <v>0</v>
      </c>
    </row>
    <row r="21" customFormat="false" ht="15" hidden="false" customHeight="false" outlineLevel="0" collapsed="false">
      <c r="A21" s="22" t="s">
        <v>86</v>
      </c>
      <c r="B21" s="19" t="s">
        <v>95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20" t="n">
        <f aca="false">COUNTA(C21:AK21)</f>
        <v>0</v>
      </c>
      <c r="AM21" s="21" t="n">
        <f aca="false">COUNTA(C21:G21)</f>
        <v>0</v>
      </c>
      <c r="AN21" s="21" t="n">
        <f aca="false">COUNTA(H21:O21)</f>
        <v>0</v>
      </c>
      <c r="AO21" s="21" t="n">
        <f aca="false">COUNTA(P21:R21)</f>
        <v>0</v>
      </c>
      <c r="AP21" s="21" t="n">
        <f aca="false">COUNTA(S21:AK21)</f>
        <v>0</v>
      </c>
    </row>
    <row r="22" customFormat="false" ht="15" hidden="false" customHeight="false" outlineLevel="0" collapsed="false">
      <c r="A22" s="22" t="s">
        <v>86</v>
      </c>
      <c r="B22" s="19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20" t="n">
        <f aca="false">COUNTA(C22:AK22)</f>
        <v>0</v>
      </c>
      <c r="AM22" s="21" t="n">
        <f aca="false">COUNTA(C22:G22)</f>
        <v>0</v>
      </c>
      <c r="AN22" s="21" t="n">
        <f aca="false">COUNTA(H22:O22)</f>
        <v>0</v>
      </c>
      <c r="AO22" s="21" t="n">
        <f aca="false">COUNTA(P22:R22)</f>
        <v>0</v>
      </c>
      <c r="AP22" s="21" t="n">
        <f aca="false">COUNTA(S22:AK22)</f>
        <v>0</v>
      </c>
    </row>
    <row r="23" customFormat="false" ht="15" hidden="false" customHeight="false" outlineLevel="0" collapsed="false">
      <c r="A23" s="22" t="s">
        <v>86</v>
      </c>
      <c r="B23" s="19" t="s">
        <v>96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20" t="n">
        <f aca="false">COUNTA(C23:AK23)</f>
        <v>0</v>
      </c>
      <c r="AM23" s="21" t="n">
        <f aca="false">COUNTA(C23:G23)</f>
        <v>0</v>
      </c>
      <c r="AN23" s="21" t="n">
        <f aca="false">COUNTA(H23:O23)</f>
        <v>0</v>
      </c>
      <c r="AO23" s="21" t="n">
        <f aca="false">COUNTA(P23:R23)</f>
        <v>0</v>
      </c>
      <c r="AP23" s="21" t="n">
        <f aca="false">COUNTA(S23:AK23)</f>
        <v>0</v>
      </c>
    </row>
    <row r="24" customFormat="false" ht="15" hidden="false" customHeight="false" outlineLevel="0" collapsed="false">
      <c r="A24" s="22" t="s">
        <v>86</v>
      </c>
      <c r="B24" s="19" t="s">
        <v>97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20" t="n">
        <f aca="false">COUNTA(C24:AK24)</f>
        <v>0</v>
      </c>
      <c r="AM24" s="21" t="n">
        <f aca="false">COUNTA(C24:G24)</f>
        <v>0</v>
      </c>
      <c r="AN24" s="21" t="n">
        <f aca="false">COUNTA(H24:O24)</f>
        <v>0</v>
      </c>
      <c r="AO24" s="21" t="n">
        <f aca="false">COUNTA(P24:R24)</f>
        <v>0</v>
      </c>
      <c r="AP24" s="21" t="n">
        <f aca="false">COUNTA(S24:AK24)</f>
        <v>0</v>
      </c>
    </row>
    <row r="25" customFormat="false" ht="15" hidden="false" customHeight="false" outlineLevel="0" collapsed="false">
      <c r="A25" s="22" t="s">
        <v>86</v>
      </c>
      <c r="B25" s="19" t="s">
        <v>98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20" t="n">
        <f aca="false">COUNTA(C25:AK25)</f>
        <v>0</v>
      </c>
      <c r="AM25" s="21" t="n">
        <f aca="false">COUNTA(C25:G25)</f>
        <v>0</v>
      </c>
      <c r="AN25" s="21" t="n">
        <f aca="false">COUNTA(H25:O25)</f>
        <v>0</v>
      </c>
      <c r="AO25" s="21" t="n">
        <f aca="false">COUNTA(P25:R25)</f>
        <v>0</v>
      </c>
      <c r="AP25" s="21" t="n">
        <f aca="false">COUNTA(S25:AK25)</f>
        <v>0</v>
      </c>
    </row>
    <row r="26" customFormat="false" ht="15" hidden="false" customHeight="false" outlineLevel="0" collapsed="false">
      <c r="A26" s="23" t="s">
        <v>99</v>
      </c>
      <c r="B26" s="19" t="s">
        <v>100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20" t="n">
        <f aca="false">COUNTA(C26:AK26)</f>
        <v>0</v>
      </c>
      <c r="AM26" s="21" t="n">
        <f aca="false">COUNTA(C26:G26)</f>
        <v>0</v>
      </c>
      <c r="AN26" s="21" t="n">
        <f aca="false">COUNTA(H26:O26)</f>
        <v>0</v>
      </c>
      <c r="AO26" s="21" t="n">
        <f aca="false">COUNTA(P26:R26)</f>
        <v>0</v>
      </c>
      <c r="AP26" s="21" t="n">
        <f aca="false">COUNTA(S26:AK26)</f>
        <v>0</v>
      </c>
    </row>
    <row r="27" customFormat="false" ht="15" hidden="false" customHeight="false" outlineLevel="0" collapsed="false">
      <c r="A27" s="23" t="s">
        <v>99</v>
      </c>
      <c r="B27" s="19" t="s">
        <v>101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20" t="n">
        <f aca="false">COUNTA(C27:AK27)</f>
        <v>0</v>
      </c>
      <c r="AM27" s="21" t="n">
        <f aca="false">COUNTA(C27:G27)</f>
        <v>0</v>
      </c>
      <c r="AN27" s="21" t="n">
        <f aca="false">COUNTA(H27:O27)</f>
        <v>0</v>
      </c>
      <c r="AO27" s="21" t="n">
        <f aca="false">COUNTA(P27:R27)</f>
        <v>0</v>
      </c>
      <c r="AP27" s="21" t="n">
        <f aca="false">COUNTA(S27:AK27)</f>
        <v>0</v>
      </c>
    </row>
    <row r="28" customFormat="false" ht="15" hidden="false" customHeight="false" outlineLevel="0" collapsed="false">
      <c r="A28" s="23" t="s">
        <v>99</v>
      </c>
      <c r="B28" s="19" t="s">
        <v>102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20" t="n">
        <f aca="false">COUNTA(C28:AK28)</f>
        <v>0</v>
      </c>
      <c r="AM28" s="21" t="n">
        <f aca="false">COUNTA(C28:G28)</f>
        <v>0</v>
      </c>
      <c r="AN28" s="21" t="n">
        <f aca="false">COUNTA(H28:O28)</f>
        <v>0</v>
      </c>
      <c r="AO28" s="21" t="n">
        <f aca="false">COUNTA(P28:R28)</f>
        <v>0</v>
      </c>
      <c r="AP28" s="21" t="n">
        <f aca="false">COUNTA(S28:AK28)</f>
        <v>0</v>
      </c>
    </row>
    <row r="29" customFormat="false" ht="15" hidden="false" customHeight="false" outlineLevel="0" collapsed="false">
      <c r="A29" s="23" t="s">
        <v>99</v>
      </c>
      <c r="B29" s="19" t="s">
        <v>103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20" t="n">
        <f aca="false">COUNTA(C29:AK29)</f>
        <v>0</v>
      </c>
      <c r="AM29" s="21" t="n">
        <f aca="false">COUNTA(C29:G29)</f>
        <v>0</v>
      </c>
      <c r="AN29" s="21" t="n">
        <f aca="false">COUNTA(H29:O29)</f>
        <v>0</v>
      </c>
      <c r="AO29" s="21" t="n">
        <f aca="false">COUNTA(P29:R29)</f>
        <v>0</v>
      </c>
      <c r="AP29" s="21" t="n">
        <f aca="false">COUNTA(S29:AK29)</f>
        <v>0</v>
      </c>
    </row>
    <row r="30" customFormat="false" ht="15" hidden="false" customHeight="false" outlineLevel="0" collapsed="false">
      <c r="A30" s="24" t="s">
        <v>104</v>
      </c>
      <c r="B30" s="19" t="s">
        <v>105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20" t="n">
        <f aca="false">COUNTA(C30:AK30)</f>
        <v>0</v>
      </c>
      <c r="AM30" s="21" t="n">
        <f aca="false">COUNTA(C30:G30)</f>
        <v>0</v>
      </c>
      <c r="AN30" s="21" t="n">
        <f aca="false">COUNTA(H30:O30)</f>
        <v>0</v>
      </c>
      <c r="AO30" s="21" t="n">
        <f aca="false">COUNTA(P30:R30)</f>
        <v>0</v>
      </c>
      <c r="AP30" s="21" t="n">
        <f aca="false">COUNTA(S30:AK30)</f>
        <v>0</v>
      </c>
    </row>
    <row r="31" customFormat="false" ht="15" hidden="false" customHeight="false" outlineLevel="0" collapsed="false">
      <c r="A31" s="24" t="s">
        <v>104</v>
      </c>
      <c r="B31" s="19" t="s">
        <v>106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20" t="n">
        <f aca="false">COUNTA(C31:AK31)</f>
        <v>0</v>
      </c>
      <c r="AM31" s="21" t="n">
        <f aca="false">COUNTA(C31:G31)</f>
        <v>0</v>
      </c>
      <c r="AN31" s="21" t="n">
        <f aca="false">COUNTA(H31:O31)</f>
        <v>0</v>
      </c>
      <c r="AO31" s="21" t="n">
        <f aca="false">COUNTA(P31:R31)</f>
        <v>0</v>
      </c>
      <c r="AP31" s="21" t="n">
        <f aca="false">COUNTA(S31:AK31)</f>
        <v>0</v>
      </c>
    </row>
    <row r="32" customFormat="false" ht="15" hidden="false" customHeight="false" outlineLevel="0" collapsed="false">
      <c r="A32" s="24" t="s">
        <v>104</v>
      </c>
      <c r="B32" s="19" t="s">
        <v>107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20" t="n">
        <f aca="false">COUNTA(C32:AK32)</f>
        <v>0</v>
      </c>
      <c r="AM32" s="21" t="n">
        <f aca="false">COUNTA(C32:G32)</f>
        <v>0</v>
      </c>
      <c r="AN32" s="21" t="n">
        <f aca="false">COUNTA(H32:O32)</f>
        <v>0</v>
      </c>
      <c r="AO32" s="21" t="n">
        <f aca="false">COUNTA(P32:R32)</f>
        <v>0</v>
      </c>
      <c r="AP32" s="21" t="n">
        <f aca="false">COUNTA(S32:AK32)</f>
        <v>0</v>
      </c>
    </row>
    <row r="33" customFormat="false" ht="15" hidden="false" customHeight="false" outlineLevel="0" collapsed="false">
      <c r="A33" s="24" t="s">
        <v>104</v>
      </c>
      <c r="B33" s="19" t="s">
        <v>108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20" t="n">
        <f aca="false">COUNTA(C33:AK33)</f>
        <v>0</v>
      </c>
      <c r="AM33" s="21" t="n">
        <f aca="false">COUNTA(C33:G33)</f>
        <v>0</v>
      </c>
      <c r="AN33" s="21" t="n">
        <f aca="false">COUNTA(H33:O33)</f>
        <v>0</v>
      </c>
      <c r="AO33" s="21" t="n">
        <f aca="false">COUNTA(P33:R33)</f>
        <v>0</v>
      </c>
      <c r="AP33" s="21" t="n">
        <f aca="false">COUNTA(S33:AK33)</f>
        <v>0</v>
      </c>
    </row>
    <row r="34" customFormat="false" ht="15" hidden="false" customHeight="false" outlineLevel="0" collapsed="false">
      <c r="A34" s="24" t="s">
        <v>104</v>
      </c>
      <c r="B34" s="19" t="s">
        <v>109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20" t="n">
        <f aca="false">COUNTA(C34:AK34)</f>
        <v>0</v>
      </c>
      <c r="AM34" s="21" t="n">
        <f aca="false">COUNTA(C34:G34)</f>
        <v>0</v>
      </c>
      <c r="AN34" s="21" t="n">
        <f aca="false">COUNTA(H34:O34)</f>
        <v>0</v>
      </c>
      <c r="AO34" s="21" t="n">
        <f aca="false">COUNTA(P34:R34)</f>
        <v>0</v>
      </c>
      <c r="AP34" s="21" t="n">
        <f aca="false">COUNTA(S34:AK34)</f>
        <v>0</v>
      </c>
    </row>
    <row r="35" customFormat="false" ht="15" hidden="false" customHeight="false" outlineLevel="0" collapsed="false">
      <c r="A35" s="24" t="s">
        <v>104</v>
      </c>
      <c r="B35" s="19" t="s">
        <v>110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20" t="n">
        <f aca="false">COUNTA(C35:AK35)</f>
        <v>0</v>
      </c>
      <c r="AM35" s="21" t="n">
        <f aca="false">COUNTA(C35:G35)</f>
        <v>0</v>
      </c>
      <c r="AN35" s="21" t="n">
        <f aca="false">COUNTA(H35:O35)</f>
        <v>0</v>
      </c>
      <c r="AO35" s="21" t="n">
        <f aca="false">COUNTA(P35:R35)</f>
        <v>0</v>
      </c>
      <c r="AP35" s="21" t="n">
        <f aca="false">COUNTA(S35:AK35)</f>
        <v>0</v>
      </c>
    </row>
    <row r="36" customFormat="false" ht="15" hidden="false" customHeight="false" outlineLevel="0" collapsed="false">
      <c r="A36" s="24" t="s">
        <v>104</v>
      </c>
      <c r="B36" s="19" t="s">
        <v>111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20" t="n">
        <f aca="false">COUNTA(C36:AK36)</f>
        <v>0</v>
      </c>
      <c r="AM36" s="21" t="n">
        <f aca="false">COUNTA(C36:G36)</f>
        <v>0</v>
      </c>
      <c r="AN36" s="21" t="n">
        <f aca="false">COUNTA(H36:O36)</f>
        <v>0</v>
      </c>
      <c r="AO36" s="21" t="n">
        <f aca="false">COUNTA(P36:R36)</f>
        <v>0</v>
      </c>
      <c r="AP36" s="21" t="n">
        <f aca="false">COUNTA(S36:AK36)</f>
        <v>0</v>
      </c>
    </row>
    <row r="37" customFormat="false" ht="15" hidden="false" customHeight="false" outlineLevel="0" collapsed="false">
      <c r="A37" s="25" t="s">
        <v>112</v>
      </c>
      <c r="B37" s="19" t="s">
        <v>113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20" t="n">
        <f aca="false">COUNTA(C37:AK37)</f>
        <v>0</v>
      </c>
      <c r="AM37" s="21" t="n">
        <f aca="false">COUNTA(C37:G37)</f>
        <v>0</v>
      </c>
      <c r="AN37" s="21" t="n">
        <f aca="false">COUNTA(H37:O37)</f>
        <v>0</v>
      </c>
      <c r="AO37" s="21" t="n">
        <f aca="false">COUNTA(P37:R37)</f>
        <v>0</v>
      </c>
      <c r="AP37" s="21" t="n">
        <f aca="false">COUNTA(S37:AK37)</f>
        <v>0</v>
      </c>
    </row>
    <row r="38" customFormat="false" ht="15" hidden="false" customHeight="false" outlineLevel="0" collapsed="false">
      <c r="A38" s="25" t="s">
        <v>112</v>
      </c>
      <c r="B38" s="19" t="s">
        <v>114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20" t="n">
        <f aca="false">COUNTA(C38:AK38)</f>
        <v>0</v>
      </c>
      <c r="AM38" s="21" t="n">
        <f aca="false">COUNTA(C38:G38)</f>
        <v>0</v>
      </c>
      <c r="AN38" s="21" t="n">
        <f aca="false">COUNTA(H38:O38)</f>
        <v>0</v>
      </c>
      <c r="AO38" s="21" t="n">
        <f aca="false">COUNTA(P38:R38)</f>
        <v>0</v>
      </c>
      <c r="AP38" s="21" t="n">
        <f aca="false">COUNTA(S38:AK38)</f>
        <v>0</v>
      </c>
    </row>
    <row r="39" customFormat="false" ht="15" hidden="false" customHeight="false" outlineLevel="0" collapsed="false">
      <c r="A39" s="25" t="s">
        <v>112</v>
      </c>
      <c r="B39" s="19" t="s">
        <v>115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20" t="n">
        <f aca="false">COUNTA(C39:AK39)</f>
        <v>0</v>
      </c>
      <c r="AM39" s="21" t="n">
        <f aca="false">COUNTA(C39:G39)</f>
        <v>0</v>
      </c>
      <c r="AN39" s="21" t="n">
        <f aca="false">COUNTA(H39:O39)</f>
        <v>0</v>
      </c>
      <c r="AO39" s="21" t="n">
        <f aca="false">COUNTA(P39:R39)</f>
        <v>0</v>
      </c>
      <c r="AP39" s="21" t="n">
        <f aca="false">COUNTA(S39:AK39)</f>
        <v>0</v>
      </c>
    </row>
    <row r="40" customFormat="false" ht="15" hidden="false" customHeight="false" outlineLevel="0" collapsed="false">
      <c r="A40" s="25" t="s">
        <v>112</v>
      </c>
      <c r="B40" s="19" t="s">
        <v>116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20" t="n">
        <f aca="false">COUNTA(C40:AK40)</f>
        <v>0</v>
      </c>
      <c r="AM40" s="21" t="n">
        <f aca="false">COUNTA(C40:G40)</f>
        <v>0</v>
      </c>
      <c r="AN40" s="21" t="n">
        <f aca="false">COUNTA(H40:O40)</f>
        <v>0</v>
      </c>
      <c r="AO40" s="21" t="n">
        <f aca="false">COUNTA(P40:R40)</f>
        <v>0</v>
      </c>
      <c r="AP40" s="21" t="n">
        <f aca="false">COUNTA(S40:AK40)</f>
        <v>0</v>
      </c>
    </row>
    <row r="41" customFormat="false" ht="15" hidden="false" customHeight="false" outlineLevel="0" collapsed="false">
      <c r="A41" s="25" t="s">
        <v>112</v>
      </c>
      <c r="B41" s="19" t="s">
        <v>117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20" t="n">
        <f aca="false">COUNTA(C41:AK41)</f>
        <v>0</v>
      </c>
      <c r="AM41" s="21" t="n">
        <f aca="false">COUNTA(C41:G41)</f>
        <v>0</v>
      </c>
      <c r="AN41" s="21" t="n">
        <f aca="false">COUNTA(H41:O41)</f>
        <v>0</v>
      </c>
      <c r="AO41" s="21" t="n">
        <f aca="false">COUNTA(P41:R41)</f>
        <v>0</v>
      </c>
      <c r="AP41" s="21" t="n">
        <f aca="false">COUNTA(S41:AK41)</f>
        <v>0</v>
      </c>
    </row>
    <row r="42" customFormat="false" ht="15" hidden="false" customHeight="false" outlineLevel="0" collapsed="false">
      <c r="A42" s="25" t="s">
        <v>112</v>
      </c>
      <c r="B42" s="19" t="s">
        <v>118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20" t="n">
        <f aca="false">COUNTA(C42:AK42)</f>
        <v>0</v>
      </c>
      <c r="AM42" s="21" t="n">
        <f aca="false">COUNTA(C42:G42)</f>
        <v>0</v>
      </c>
      <c r="AN42" s="21" t="n">
        <f aca="false">COUNTA(H42:O42)</f>
        <v>0</v>
      </c>
      <c r="AO42" s="21" t="n">
        <f aca="false">COUNTA(P42:R42)</f>
        <v>0</v>
      </c>
      <c r="AP42" s="21" t="n">
        <f aca="false">COUNTA(S42:AK42)</f>
        <v>0</v>
      </c>
    </row>
    <row r="43" customFormat="false" ht="15" hidden="false" customHeight="false" outlineLevel="0" collapsed="false">
      <c r="A43" s="25" t="s">
        <v>112</v>
      </c>
      <c r="B43" s="19" t="s">
        <v>119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20" t="n">
        <f aca="false">COUNTA(C43:AK43)</f>
        <v>0</v>
      </c>
      <c r="AM43" s="21" t="n">
        <f aca="false">COUNTA(C43:G43)</f>
        <v>0</v>
      </c>
      <c r="AN43" s="21" t="n">
        <f aca="false">COUNTA(H43:O43)</f>
        <v>0</v>
      </c>
      <c r="AO43" s="21" t="n">
        <f aca="false">COUNTA(P43:R43)</f>
        <v>0</v>
      </c>
      <c r="AP43" s="21" t="n">
        <f aca="false">COUNTA(S43:AK43)</f>
        <v>0</v>
      </c>
    </row>
    <row r="44" customFormat="false" ht="15" hidden="false" customHeight="false" outlineLevel="0" collapsed="false">
      <c r="A44" s="25" t="s">
        <v>112</v>
      </c>
      <c r="B44" s="19" t="s">
        <v>120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20" t="n">
        <f aca="false">COUNTA(C44:AK44)</f>
        <v>0</v>
      </c>
      <c r="AM44" s="21" t="n">
        <f aca="false">COUNTA(C44:G44)</f>
        <v>0</v>
      </c>
      <c r="AN44" s="21" t="n">
        <f aca="false">COUNTA(H44:O44)</f>
        <v>0</v>
      </c>
      <c r="AO44" s="21" t="n">
        <f aca="false">COUNTA(P44:R44)</f>
        <v>0</v>
      </c>
      <c r="AP44" s="21" t="n">
        <f aca="false">COUNTA(S44:AK44)</f>
        <v>0</v>
      </c>
    </row>
    <row r="45" customFormat="false" ht="15" hidden="false" customHeight="false" outlineLevel="0" collapsed="false">
      <c r="A45" s="25" t="s">
        <v>112</v>
      </c>
      <c r="B45" s="19" t="s">
        <v>27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20" t="n">
        <f aca="false">COUNTA(C45:AK45)</f>
        <v>0</v>
      </c>
      <c r="AM45" s="21" t="n">
        <f aca="false">COUNTA(C45:G45)</f>
        <v>0</v>
      </c>
      <c r="AN45" s="21" t="n">
        <f aca="false">COUNTA(H45:O45)</f>
        <v>0</v>
      </c>
      <c r="AO45" s="21" t="n">
        <f aca="false">COUNTA(P45:R45)</f>
        <v>0</v>
      </c>
      <c r="AP45" s="21" t="n">
        <f aca="false">COUNTA(S45:AK45)</f>
        <v>0</v>
      </c>
    </row>
    <row r="46" customFormat="false" ht="15" hidden="false" customHeight="false" outlineLevel="0" collapsed="false">
      <c r="A46" s="25" t="s">
        <v>112</v>
      </c>
      <c r="B46" s="19" t="s">
        <v>121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20" t="n">
        <f aca="false">COUNTA(C46:AK46)</f>
        <v>0</v>
      </c>
      <c r="AM46" s="21" t="n">
        <f aca="false">COUNTA(C46:G46)</f>
        <v>0</v>
      </c>
      <c r="AN46" s="21" t="n">
        <f aca="false">COUNTA(H46:O46)</f>
        <v>0</v>
      </c>
      <c r="AO46" s="21" t="n">
        <f aca="false">COUNTA(P46:R46)</f>
        <v>0</v>
      </c>
      <c r="AP46" s="21" t="n">
        <f aca="false">COUNTA(S46:AK46)</f>
        <v>0</v>
      </c>
    </row>
    <row r="47" customFormat="false" ht="15" hidden="false" customHeight="false" outlineLevel="0" collapsed="false">
      <c r="A47" s="25" t="s">
        <v>112</v>
      </c>
      <c r="B47" s="19" t="s">
        <v>122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20" t="n">
        <f aca="false">COUNTA(C47:AK47)</f>
        <v>0</v>
      </c>
      <c r="AM47" s="21" t="n">
        <f aca="false">COUNTA(C47:G47)</f>
        <v>0</v>
      </c>
      <c r="AN47" s="21" t="n">
        <f aca="false">COUNTA(H47:O47)</f>
        <v>0</v>
      </c>
      <c r="AO47" s="21" t="n">
        <f aca="false">COUNTA(P47:R47)</f>
        <v>0</v>
      </c>
      <c r="AP47" s="21" t="n">
        <f aca="false">COUNTA(S47:AK47)</f>
        <v>0</v>
      </c>
    </row>
    <row r="48" customFormat="false" ht="15" hidden="false" customHeight="false" outlineLevel="0" collapsed="false">
      <c r="A48" s="25" t="s">
        <v>112</v>
      </c>
      <c r="B48" s="19" t="s">
        <v>123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20" t="n">
        <f aca="false">COUNTA(C48:AK48)</f>
        <v>0</v>
      </c>
      <c r="AM48" s="21" t="n">
        <f aca="false">COUNTA(C48:G48)</f>
        <v>0</v>
      </c>
      <c r="AN48" s="21" t="n">
        <f aca="false">COUNTA(H48:O48)</f>
        <v>0</v>
      </c>
      <c r="AO48" s="21" t="n">
        <f aca="false">COUNTA(P48:R48)</f>
        <v>0</v>
      </c>
      <c r="AP48" s="21" t="n">
        <f aca="false">COUNTA(S48:AK48)</f>
        <v>0</v>
      </c>
    </row>
    <row r="49" customFormat="false" ht="15" hidden="false" customHeight="false" outlineLevel="0" collapsed="false">
      <c r="A49" s="25" t="s">
        <v>112</v>
      </c>
      <c r="B49" s="19" t="s">
        <v>124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20" t="n">
        <f aca="false">COUNTA(C49:AK49)</f>
        <v>0</v>
      </c>
      <c r="AM49" s="21" t="n">
        <f aca="false">COUNTA(C49:G49)</f>
        <v>0</v>
      </c>
      <c r="AN49" s="21" t="n">
        <f aca="false">COUNTA(H49:O49)</f>
        <v>0</v>
      </c>
      <c r="AO49" s="21" t="n">
        <f aca="false">COUNTA(P49:R49)</f>
        <v>0</v>
      </c>
      <c r="AP49" s="21" t="n">
        <f aca="false">COUNTA(S49:AK49)</f>
        <v>0</v>
      </c>
    </row>
    <row r="50" customFormat="false" ht="15" hidden="false" customHeight="false" outlineLevel="0" collapsed="false">
      <c r="A50" s="25" t="s">
        <v>112</v>
      </c>
      <c r="B50" s="19" t="s">
        <v>125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20" t="n">
        <f aca="false">COUNTA(C50:AK50)</f>
        <v>0</v>
      </c>
      <c r="AM50" s="21" t="n">
        <f aca="false">COUNTA(C50:G50)</f>
        <v>0</v>
      </c>
      <c r="AN50" s="21" t="n">
        <f aca="false">COUNTA(H50:O50)</f>
        <v>0</v>
      </c>
      <c r="AO50" s="21" t="n">
        <f aca="false">COUNTA(P50:R50)</f>
        <v>0</v>
      </c>
      <c r="AP50" s="21" t="n">
        <f aca="false">COUNTA(S50:AK50)</f>
        <v>0</v>
      </c>
    </row>
    <row r="51" customFormat="false" ht="15" hidden="false" customHeight="false" outlineLevel="0" collapsed="false">
      <c r="A51" s="25" t="s">
        <v>112</v>
      </c>
      <c r="B51" s="19" t="s">
        <v>126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20" t="n">
        <f aca="false">COUNTA(C51:AK51)</f>
        <v>0</v>
      </c>
      <c r="AM51" s="21" t="n">
        <f aca="false">COUNTA(C51:G51)</f>
        <v>0</v>
      </c>
      <c r="AN51" s="21" t="n">
        <f aca="false">COUNTA(H51:O51)</f>
        <v>0</v>
      </c>
      <c r="AO51" s="21" t="n">
        <f aca="false">COUNTA(P51:R51)</f>
        <v>0</v>
      </c>
      <c r="AP51" s="21" t="n">
        <f aca="false">COUNTA(S51:AK51)</f>
        <v>0</v>
      </c>
    </row>
    <row r="52" customFormat="false" ht="15" hidden="false" customHeight="false" outlineLevel="0" collapsed="false">
      <c r="A52" s="25" t="s">
        <v>112</v>
      </c>
      <c r="B52" s="19" t="s">
        <v>127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20" t="n">
        <f aca="false">COUNTA(C52:AK52)</f>
        <v>0</v>
      </c>
      <c r="AM52" s="21" t="n">
        <f aca="false">COUNTA(C52:G52)</f>
        <v>0</v>
      </c>
      <c r="AN52" s="21" t="n">
        <f aca="false">COUNTA(H52:O52)</f>
        <v>0</v>
      </c>
      <c r="AO52" s="21" t="n">
        <f aca="false">COUNTA(P52:R52)</f>
        <v>0</v>
      </c>
      <c r="AP52" s="21" t="n">
        <f aca="false">COUNTA(S52:AK52)</f>
        <v>0</v>
      </c>
    </row>
    <row r="53" customFormat="false" ht="15" hidden="false" customHeight="false" outlineLevel="0" collapsed="false">
      <c r="A53" s="25" t="s">
        <v>112</v>
      </c>
      <c r="B53" s="19" t="s">
        <v>128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20" t="n">
        <f aca="false">COUNTA(C53:AK53)</f>
        <v>0</v>
      </c>
      <c r="AM53" s="21" t="n">
        <f aca="false">COUNTA(C53:G53)</f>
        <v>0</v>
      </c>
      <c r="AN53" s="21" t="n">
        <f aca="false">COUNTA(H53:O53)</f>
        <v>0</v>
      </c>
      <c r="AO53" s="21" t="n">
        <f aca="false">COUNTA(P53:R53)</f>
        <v>0</v>
      </c>
      <c r="AP53" s="21" t="n">
        <f aca="false">COUNTA(S53:AK53)</f>
        <v>0</v>
      </c>
    </row>
    <row r="54" customFormat="false" ht="15" hidden="false" customHeight="false" outlineLevel="0" collapsed="false">
      <c r="A54" s="26" t="s">
        <v>129</v>
      </c>
      <c r="B54" s="19" t="s">
        <v>130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20" t="n">
        <f aca="false">COUNTA(C54:AK54)</f>
        <v>0</v>
      </c>
      <c r="AM54" s="21" t="n">
        <f aca="false">COUNTA(C54:G54)</f>
        <v>0</v>
      </c>
      <c r="AN54" s="21" t="n">
        <f aca="false">COUNTA(H54:O54)</f>
        <v>0</v>
      </c>
      <c r="AO54" s="21" t="n">
        <f aca="false">COUNTA(P54:R54)</f>
        <v>0</v>
      </c>
      <c r="AP54" s="21" t="n">
        <f aca="false">COUNTA(S54:AK54)</f>
        <v>0</v>
      </c>
    </row>
    <row r="55" customFormat="false" ht="15" hidden="false" customHeight="false" outlineLevel="0" collapsed="false">
      <c r="A55" s="26" t="s">
        <v>129</v>
      </c>
      <c r="B55" s="19" t="s">
        <v>131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20" t="n">
        <f aca="false">COUNTA(C55:AK55)</f>
        <v>0</v>
      </c>
      <c r="AM55" s="21" t="n">
        <f aca="false">COUNTA(C55:G55)</f>
        <v>0</v>
      </c>
      <c r="AN55" s="21" t="n">
        <f aca="false">COUNTA(H55:O55)</f>
        <v>0</v>
      </c>
      <c r="AO55" s="21" t="n">
        <f aca="false">COUNTA(P55:R55)</f>
        <v>0</v>
      </c>
      <c r="AP55" s="21" t="n">
        <f aca="false">COUNTA(S55:AK55)</f>
        <v>0</v>
      </c>
    </row>
    <row r="56" customFormat="false" ht="15" hidden="false" customHeight="false" outlineLevel="0" collapsed="false">
      <c r="A56" s="26" t="s">
        <v>129</v>
      </c>
      <c r="B56" s="19" t="s">
        <v>132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20" t="n">
        <f aca="false">COUNTA(C56:AK56)</f>
        <v>0</v>
      </c>
      <c r="AM56" s="21" t="n">
        <f aca="false">COUNTA(C56:G56)</f>
        <v>0</v>
      </c>
      <c r="AN56" s="21" t="n">
        <f aca="false">COUNTA(H56:O56)</f>
        <v>0</v>
      </c>
      <c r="AO56" s="21" t="n">
        <f aca="false">COUNTA(P56:R56)</f>
        <v>0</v>
      </c>
      <c r="AP56" s="21" t="n">
        <f aca="false">COUNTA(S56:AK56)</f>
        <v>0</v>
      </c>
    </row>
    <row r="57" customFormat="false" ht="15" hidden="false" customHeight="false" outlineLevel="0" collapsed="false">
      <c r="A57" s="26" t="s">
        <v>129</v>
      </c>
      <c r="B57" s="19" t="s">
        <v>133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20" t="n">
        <f aca="false">COUNTA(C57:AK57)</f>
        <v>0</v>
      </c>
      <c r="AM57" s="21" t="n">
        <f aca="false">COUNTA(C57:G57)</f>
        <v>0</v>
      </c>
      <c r="AN57" s="21" t="n">
        <f aca="false">COUNTA(H57:O57)</f>
        <v>0</v>
      </c>
      <c r="AO57" s="21" t="n">
        <f aca="false">COUNTA(P57:R57)</f>
        <v>0</v>
      </c>
      <c r="AP57" s="21" t="n">
        <f aca="false">COUNTA(S57:AK57)</f>
        <v>0</v>
      </c>
    </row>
    <row r="58" customFormat="false" ht="15" hidden="false" customHeight="false" outlineLevel="0" collapsed="false">
      <c r="A58" s="26" t="s">
        <v>129</v>
      </c>
      <c r="B58" s="19" t="s">
        <v>134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20" t="n">
        <f aca="false">COUNTA(C58:AK58)</f>
        <v>0</v>
      </c>
      <c r="AM58" s="21" t="n">
        <f aca="false">COUNTA(C58:G58)</f>
        <v>0</v>
      </c>
      <c r="AN58" s="21" t="n">
        <f aca="false">COUNTA(H58:O58)</f>
        <v>0</v>
      </c>
      <c r="AO58" s="21" t="n">
        <f aca="false">COUNTA(P58:R58)</f>
        <v>0</v>
      </c>
      <c r="AP58" s="21" t="n">
        <f aca="false">COUNTA(S58:AK58)</f>
        <v>0</v>
      </c>
    </row>
    <row r="59" customFormat="false" ht="15" hidden="false" customHeight="false" outlineLevel="0" collapsed="false">
      <c r="A59" s="27" t="s">
        <v>135</v>
      </c>
      <c r="B59" s="19" t="s">
        <v>136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20" t="n">
        <f aca="false">COUNTA(C59:AK59)</f>
        <v>0</v>
      </c>
      <c r="AM59" s="21" t="n">
        <f aca="false">COUNTA(C59:G59)</f>
        <v>0</v>
      </c>
      <c r="AN59" s="21" t="n">
        <f aca="false">COUNTA(H59:O59)</f>
        <v>0</v>
      </c>
      <c r="AO59" s="21" t="n">
        <f aca="false">COUNTA(P59:R59)</f>
        <v>0</v>
      </c>
      <c r="AP59" s="21" t="n">
        <f aca="false">COUNTA(S59:AK59)</f>
        <v>0</v>
      </c>
    </row>
    <row r="60" customFormat="false" ht="15" hidden="false" customHeight="false" outlineLevel="0" collapsed="false">
      <c r="A60" s="27" t="s">
        <v>135</v>
      </c>
      <c r="B60" s="19" t="s">
        <v>137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20" t="n">
        <f aca="false">COUNTA(C60:AK60)</f>
        <v>0</v>
      </c>
      <c r="AM60" s="21" t="n">
        <f aca="false">COUNTA(C60:G60)</f>
        <v>0</v>
      </c>
      <c r="AN60" s="21" t="n">
        <f aca="false">COUNTA(H60:O60)</f>
        <v>0</v>
      </c>
      <c r="AO60" s="21" t="n">
        <f aca="false">COUNTA(P60:R60)</f>
        <v>0</v>
      </c>
      <c r="AP60" s="21" t="n">
        <f aca="false">COUNTA(S60:AK60)</f>
        <v>0</v>
      </c>
    </row>
    <row r="61" customFormat="false" ht="15" hidden="false" customHeight="false" outlineLevel="0" collapsed="false">
      <c r="A61" s="27" t="s">
        <v>135</v>
      </c>
      <c r="B61" s="19" t="s">
        <v>138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20" t="n">
        <f aca="false">COUNTA(C61:AK61)</f>
        <v>0</v>
      </c>
      <c r="AM61" s="21" t="n">
        <f aca="false">COUNTA(C61:G61)</f>
        <v>0</v>
      </c>
      <c r="AN61" s="21" t="n">
        <f aca="false">COUNTA(H61:O61)</f>
        <v>0</v>
      </c>
      <c r="AO61" s="21" t="n">
        <f aca="false">COUNTA(P61:R61)</f>
        <v>0</v>
      </c>
      <c r="AP61" s="21" t="n">
        <f aca="false">COUNTA(S61:AK61)</f>
        <v>0</v>
      </c>
    </row>
    <row r="62" customFormat="false" ht="15" hidden="false" customHeight="false" outlineLevel="0" collapsed="false">
      <c r="A62" s="27" t="s">
        <v>135</v>
      </c>
      <c r="B62" s="19" t="s">
        <v>139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20" t="n">
        <f aca="false">COUNTA(C62:AK62)</f>
        <v>0</v>
      </c>
      <c r="AM62" s="21" t="n">
        <f aca="false">COUNTA(C62:G62)</f>
        <v>0</v>
      </c>
      <c r="AN62" s="21" t="n">
        <f aca="false">COUNTA(H62:O62)</f>
        <v>0</v>
      </c>
      <c r="AO62" s="21" t="n">
        <f aca="false">COUNTA(P62:R62)</f>
        <v>0</v>
      </c>
      <c r="AP62" s="21" t="n">
        <f aca="false">COUNTA(S62:AK62)</f>
        <v>0</v>
      </c>
    </row>
    <row r="63" customFormat="false" ht="15" hidden="false" customHeight="false" outlineLevel="0" collapsed="false">
      <c r="A63" s="27" t="s">
        <v>135</v>
      </c>
      <c r="B63" s="19" t="s">
        <v>140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20" t="n">
        <f aca="false">COUNTA(C63:AK63)</f>
        <v>0</v>
      </c>
      <c r="AM63" s="21" t="n">
        <f aca="false">COUNTA(C63:G63)</f>
        <v>0</v>
      </c>
      <c r="AN63" s="21" t="n">
        <f aca="false">COUNTA(H63:O63)</f>
        <v>0</v>
      </c>
      <c r="AO63" s="21" t="n">
        <f aca="false">COUNTA(P63:R63)</f>
        <v>0</v>
      </c>
      <c r="AP63" s="21" t="n">
        <f aca="false">COUNTA(S63:AK63)</f>
        <v>0</v>
      </c>
    </row>
    <row r="64" customFormat="false" ht="15" hidden="false" customHeight="false" outlineLevel="0" collapsed="false">
      <c r="A64" s="27" t="s">
        <v>135</v>
      </c>
      <c r="B64" s="19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20" t="n">
        <f aca="false">COUNTA(C64:AK64)</f>
        <v>0</v>
      </c>
      <c r="AM64" s="21" t="n">
        <f aca="false">COUNTA(C64:G64)</f>
        <v>0</v>
      </c>
      <c r="AN64" s="21" t="n">
        <f aca="false">COUNTA(H64:O64)</f>
        <v>0</v>
      </c>
      <c r="AO64" s="21" t="n">
        <f aca="false">COUNTA(P64:R64)</f>
        <v>0</v>
      </c>
      <c r="AP64" s="21" t="n">
        <f aca="false">COUNTA(S64:AK64)</f>
        <v>0</v>
      </c>
    </row>
    <row r="65" customFormat="false" ht="15" hidden="false" customHeight="false" outlineLevel="0" collapsed="false">
      <c r="A65" s="28" t="s">
        <v>142</v>
      </c>
      <c r="B65" s="19" t="s">
        <v>143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20" t="n">
        <f aca="false">COUNTA(C65:AK65)</f>
        <v>0</v>
      </c>
      <c r="AM65" s="21" t="n">
        <f aca="false">COUNTA(C65:G65)</f>
        <v>0</v>
      </c>
      <c r="AN65" s="21" t="n">
        <f aca="false">COUNTA(H65:O65)</f>
        <v>0</v>
      </c>
      <c r="AO65" s="21" t="n">
        <f aca="false">COUNTA(P65:R65)</f>
        <v>0</v>
      </c>
      <c r="AP65" s="21" t="n">
        <f aca="false">COUNTA(S65:AK65)</f>
        <v>0</v>
      </c>
    </row>
    <row r="66" customFormat="false" ht="15" hidden="false" customHeight="false" outlineLevel="0" collapsed="false">
      <c r="A66" s="28" t="s">
        <v>142</v>
      </c>
      <c r="B66" s="19" t="s">
        <v>144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20" t="n">
        <f aca="false">COUNTA(C66:AK66)</f>
        <v>0</v>
      </c>
      <c r="AM66" s="21" t="n">
        <f aca="false">COUNTA(C66:G66)</f>
        <v>0</v>
      </c>
      <c r="AN66" s="21" t="n">
        <f aca="false">COUNTA(H66:O66)</f>
        <v>0</v>
      </c>
      <c r="AO66" s="21" t="n">
        <f aca="false">COUNTA(P66:R66)</f>
        <v>0</v>
      </c>
      <c r="AP66" s="21" t="n">
        <f aca="false">COUNTA(S66:AK66)</f>
        <v>0</v>
      </c>
    </row>
    <row r="67" customFormat="false" ht="15" hidden="false" customHeight="false" outlineLevel="0" collapsed="false">
      <c r="A67" s="28" t="s">
        <v>142</v>
      </c>
      <c r="B67" s="19" t="s">
        <v>145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20" t="n">
        <f aca="false">COUNTA(C67:AK67)</f>
        <v>0</v>
      </c>
      <c r="AM67" s="21" t="n">
        <f aca="false">COUNTA(C67:G67)</f>
        <v>0</v>
      </c>
      <c r="AN67" s="21" t="n">
        <f aca="false">COUNTA(H67:O67)</f>
        <v>0</v>
      </c>
      <c r="AO67" s="21" t="n">
        <f aca="false">COUNTA(P67:R67)</f>
        <v>0</v>
      </c>
      <c r="AP67" s="21" t="n">
        <f aca="false">COUNTA(S67:AK67)</f>
        <v>0</v>
      </c>
    </row>
    <row r="68" customFormat="false" ht="15" hidden="false" customHeight="false" outlineLevel="0" collapsed="false">
      <c r="A68" s="28" t="s">
        <v>142</v>
      </c>
      <c r="B68" s="19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20" t="n">
        <f aca="false">COUNTA(C68:AK68)</f>
        <v>0</v>
      </c>
      <c r="AM68" s="21" t="n">
        <f aca="false">COUNTA(C68:G68)</f>
        <v>0</v>
      </c>
      <c r="AN68" s="21" t="n">
        <f aca="false">COUNTA(H68:O68)</f>
        <v>0</v>
      </c>
      <c r="AO68" s="21" t="n">
        <f aca="false">COUNTA(P68:R68)</f>
        <v>0</v>
      </c>
      <c r="AP68" s="21" t="n">
        <f aca="false">COUNTA(S68:AK68)</f>
        <v>0</v>
      </c>
    </row>
    <row r="69" customFormat="false" ht="15" hidden="false" customHeight="false" outlineLevel="0" collapsed="false">
      <c r="A69" s="28" t="s">
        <v>142</v>
      </c>
      <c r="B69" s="19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20" t="n">
        <f aca="false">COUNTA(C69:AK69)</f>
        <v>0</v>
      </c>
      <c r="AM69" s="21" t="n">
        <f aca="false">COUNTA(C69:G69)</f>
        <v>0</v>
      </c>
      <c r="AN69" s="21" t="n">
        <f aca="false">COUNTA(H69:O69)</f>
        <v>0</v>
      </c>
      <c r="AO69" s="21" t="n">
        <f aca="false">COUNTA(P69:R69)</f>
        <v>0</v>
      </c>
      <c r="AP69" s="21" t="n">
        <f aca="false">COUNTA(S69:AK69)</f>
        <v>0</v>
      </c>
    </row>
    <row r="70" customFormat="false" ht="15" hidden="false" customHeight="false" outlineLevel="0" collapsed="false">
      <c r="A70" s="28" t="s">
        <v>142</v>
      </c>
      <c r="B70" s="19" t="s">
        <v>148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20" t="n">
        <f aca="false">COUNTA(C70:AK70)</f>
        <v>0</v>
      </c>
      <c r="AM70" s="21" t="n">
        <f aca="false">COUNTA(C70:G70)</f>
        <v>0</v>
      </c>
      <c r="AN70" s="21" t="n">
        <f aca="false">COUNTA(H70:O70)</f>
        <v>0</v>
      </c>
      <c r="AO70" s="21" t="n">
        <f aca="false">COUNTA(P70:R70)</f>
        <v>0</v>
      </c>
      <c r="AP70" s="21" t="n">
        <f aca="false">COUNTA(S70:AK70)</f>
        <v>0</v>
      </c>
    </row>
    <row r="71" customFormat="false" ht="15" hidden="false" customHeight="false" outlineLevel="0" collapsed="false">
      <c r="A71" s="18" t="s">
        <v>149</v>
      </c>
      <c r="B71" s="19" t="s">
        <v>150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20" t="n">
        <f aca="false">COUNTA(C71:AK71)</f>
        <v>0</v>
      </c>
      <c r="AM71" s="21" t="n">
        <f aca="false">COUNTA(C71:G71)</f>
        <v>0</v>
      </c>
      <c r="AN71" s="21" t="n">
        <f aca="false">COUNTA(H71:O71)</f>
        <v>0</v>
      </c>
      <c r="AO71" s="21" t="n">
        <f aca="false">COUNTA(P71:R71)</f>
        <v>0</v>
      </c>
      <c r="AP71" s="21" t="n">
        <f aca="false">COUNTA(S71:AK71)</f>
        <v>0</v>
      </c>
    </row>
    <row r="72" customFormat="false" ht="15" hidden="false" customHeight="false" outlineLevel="0" collapsed="false">
      <c r="A72" s="18" t="s">
        <v>149</v>
      </c>
      <c r="B72" s="19" t="s">
        <v>151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20" t="n">
        <f aca="false">COUNTA(C72:AK72)</f>
        <v>0</v>
      </c>
      <c r="AM72" s="21" t="n">
        <f aca="false">COUNTA(C72:G72)</f>
        <v>0</v>
      </c>
      <c r="AN72" s="21" t="n">
        <f aca="false">COUNTA(H72:O72)</f>
        <v>0</v>
      </c>
      <c r="AO72" s="21" t="n">
        <f aca="false">COUNTA(P72:R72)</f>
        <v>0</v>
      </c>
      <c r="AP72" s="21" t="n">
        <f aca="false">COUNTA(S72:AK72)</f>
        <v>0</v>
      </c>
    </row>
    <row r="73" customFormat="false" ht="15" hidden="false" customHeight="false" outlineLevel="0" collapsed="false">
      <c r="A73" s="18" t="s">
        <v>149</v>
      </c>
      <c r="B73" s="19" t="s">
        <v>152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20" t="n">
        <f aca="false">COUNTA(C73:AK73)</f>
        <v>0</v>
      </c>
      <c r="AM73" s="21" t="n">
        <f aca="false">COUNTA(C73:G73)</f>
        <v>0</v>
      </c>
      <c r="AN73" s="21" t="n">
        <f aca="false">COUNTA(H73:O73)</f>
        <v>0</v>
      </c>
      <c r="AO73" s="21" t="n">
        <f aca="false">COUNTA(P73:R73)</f>
        <v>0</v>
      </c>
      <c r="AP73" s="21" t="n">
        <f aca="false">COUNTA(S73:AK73)</f>
        <v>0</v>
      </c>
    </row>
    <row r="74" customFormat="false" ht="15" hidden="false" customHeight="false" outlineLevel="0" collapsed="false">
      <c r="A74" s="18" t="s">
        <v>149</v>
      </c>
      <c r="B74" s="19" t="s">
        <v>153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20" t="n">
        <f aca="false">COUNTA(C74:AK74)</f>
        <v>0</v>
      </c>
      <c r="AM74" s="21" t="n">
        <f aca="false">COUNTA(C74:G74)</f>
        <v>0</v>
      </c>
      <c r="AN74" s="21" t="n">
        <f aca="false">COUNTA(H74:O74)</f>
        <v>0</v>
      </c>
      <c r="AO74" s="21" t="n">
        <f aca="false">COUNTA(P74:R74)</f>
        <v>0</v>
      </c>
      <c r="AP74" s="21" t="n">
        <f aca="false">COUNTA(S74:AK74)</f>
        <v>0</v>
      </c>
    </row>
    <row r="75" customFormat="false" ht="15" hidden="false" customHeight="false" outlineLevel="0" collapsed="false">
      <c r="A75" s="18" t="s">
        <v>149</v>
      </c>
      <c r="B75" s="19" t="s">
        <v>154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20" t="n">
        <f aca="false">COUNTA(C75:AK75)</f>
        <v>0</v>
      </c>
      <c r="AM75" s="21" t="n">
        <f aca="false">COUNTA(C75:G75)</f>
        <v>0</v>
      </c>
      <c r="AN75" s="21" t="n">
        <f aca="false">COUNTA(H75:O75)</f>
        <v>0</v>
      </c>
      <c r="AO75" s="21" t="n">
        <f aca="false">COUNTA(P75:R75)</f>
        <v>0</v>
      </c>
      <c r="AP75" s="21" t="n">
        <f aca="false">COUNTA(S75:AK75)</f>
        <v>0</v>
      </c>
    </row>
    <row r="76" customFormat="false" ht="15" hidden="false" customHeight="false" outlineLevel="0" collapsed="false">
      <c r="A76" s="18" t="s">
        <v>149</v>
      </c>
      <c r="B76" s="19" t="s">
        <v>155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20" t="n">
        <f aca="false">COUNTA(C76:AK76)</f>
        <v>0</v>
      </c>
      <c r="AM76" s="21" t="n">
        <f aca="false">COUNTA(C76:G76)</f>
        <v>0</v>
      </c>
      <c r="AN76" s="21" t="n">
        <f aca="false">COUNTA(H76:O76)</f>
        <v>0</v>
      </c>
      <c r="AO76" s="21" t="n">
        <f aca="false">COUNTA(P76:R76)</f>
        <v>0</v>
      </c>
      <c r="AP76" s="21" t="n">
        <f aca="false">COUNTA(S76:AK76)</f>
        <v>0</v>
      </c>
    </row>
    <row r="77" customFormat="false" ht="15" hidden="false" customHeight="false" outlineLevel="0" collapsed="false">
      <c r="A77" s="22" t="s">
        <v>156</v>
      </c>
      <c r="B77" s="19" t="s">
        <v>157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20" t="n">
        <f aca="false">COUNTA(C77:AK77)</f>
        <v>0</v>
      </c>
      <c r="AM77" s="21" t="n">
        <f aca="false">COUNTA(C77:G77)</f>
        <v>0</v>
      </c>
      <c r="AN77" s="21" t="n">
        <f aca="false">COUNTA(H77:O77)</f>
        <v>0</v>
      </c>
      <c r="AO77" s="21" t="n">
        <f aca="false">COUNTA(P77:R77)</f>
        <v>0</v>
      </c>
      <c r="AP77" s="21" t="n">
        <f aca="false">COUNTA(S77:AK77)</f>
        <v>0</v>
      </c>
    </row>
    <row r="78" customFormat="false" ht="15" hidden="false" customHeight="false" outlineLevel="0" collapsed="false">
      <c r="A78" s="22" t="s">
        <v>156</v>
      </c>
      <c r="B78" s="19" t="s">
        <v>158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20" t="n">
        <f aca="false">COUNTA(C78:AK78)</f>
        <v>0</v>
      </c>
      <c r="AM78" s="21" t="n">
        <f aca="false">COUNTA(C78:G78)</f>
        <v>0</v>
      </c>
      <c r="AN78" s="21" t="n">
        <f aca="false">COUNTA(H78:O78)</f>
        <v>0</v>
      </c>
      <c r="AO78" s="21" t="n">
        <f aca="false">COUNTA(P78:R78)</f>
        <v>0</v>
      </c>
      <c r="AP78" s="21" t="n">
        <f aca="false">COUNTA(S78:AK78)</f>
        <v>0</v>
      </c>
    </row>
    <row r="79" customFormat="false" ht="15" hidden="false" customHeight="false" outlineLevel="0" collapsed="false">
      <c r="A79" s="22" t="s">
        <v>156</v>
      </c>
      <c r="B79" s="19" t="s">
        <v>159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20" t="n">
        <f aca="false">COUNTA(C79:AK79)</f>
        <v>0</v>
      </c>
      <c r="AM79" s="21" t="n">
        <f aca="false">COUNTA(C79:G79)</f>
        <v>0</v>
      </c>
      <c r="AN79" s="21" t="n">
        <f aca="false">COUNTA(H79:O79)</f>
        <v>0</v>
      </c>
      <c r="AO79" s="21" t="n">
        <f aca="false">COUNTA(P79:R79)</f>
        <v>0</v>
      </c>
      <c r="AP79" s="21" t="n">
        <f aca="false">COUNTA(S79:AK79)</f>
        <v>0</v>
      </c>
    </row>
    <row r="80" customFormat="false" ht="15" hidden="false" customHeight="false" outlineLevel="0" collapsed="false">
      <c r="A80" s="22" t="s">
        <v>156</v>
      </c>
      <c r="B80" s="19" t="s">
        <v>160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20" t="n">
        <f aca="false">COUNTA(C80:AK80)</f>
        <v>0</v>
      </c>
      <c r="AM80" s="21" t="n">
        <f aca="false">COUNTA(C80:G80)</f>
        <v>0</v>
      </c>
      <c r="AN80" s="21" t="n">
        <f aca="false">COUNTA(H80:O80)</f>
        <v>0</v>
      </c>
      <c r="AO80" s="21" t="n">
        <f aca="false">COUNTA(P80:R80)</f>
        <v>0</v>
      </c>
      <c r="AP80" s="21" t="n">
        <f aca="false">COUNTA(S80:AK80)</f>
        <v>0</v>
      </c>
    </row>
    <row r="81" customFormat="false" ht="15" hidden="false" customHeight="false" outlineLevel="0" collapsed="false">
      <c r="A81" s="22" t="s">
        <v>156</v>
      </c>
      <c r="B81" s="19" t="s">
        <v>161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20" t="n">
        <f aca="false">COUNTA(C81:AK81)</f>
        <v>0</v>
      </c>
      <c r="AM81" s="21" t="n">
        <f aca="false">COUNTA(C81:G81)</f>
        <v>0</v>
      </c>
      <c r="AN81" s="21" t="n">
        <f aca="false">COUNTA(H81:O81)</f>
        <v>0</v>
      </c>
      <c r="AO81" s="21" t="n">
        <f aca="false">COUNTA(P81:R81)</f>
        <v>0</v>
      </c>
      <c r="AP81" s="21" t="n">
        <f aca="false">COUNTA(S81:AK81)</f>
        <v>0</v>
      </c>
    </row>
    <row r="82" customFormat="false" ht="15" hidden="false" customHeight="false" outlineLevel="0" collapsed="false">
      <c r="A82" s="23" t="s">
        <v>162</v>
      </c>
      <c r="B82" s="19" t="s">
        <v>163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20" t="n">
        <f aca="false">COUNTA(C82:AK82)</f>
        <v>0</v>
      </c>
      <c r="AM82" s="21" t="n">
        <f aca="false">COUNTA(C82:G82)</f>
        <v>0</v>
      </c>
      <c r="AN82" s="21" t="n">
        <f aca="false">COUNTA(H82:O82)</f>
        <v>0</v>
      </c>
      <c r="AO82" s="21" t="n">
        <f aca="false">COUNTA(P82:R82)</f>
        <v>0</v>
      </c>
      <c r="AP82" s="21" t="n">
        <f aca="false">COUNTA(S82:AK82)</f>
        <v>0</v>
      </c>
    </row>
    <row r="83" customFormat="false" ht="15" hidden="false" customHeight="false" outlineLevel="0" collapsed="false">
      <c r="A83" s="23" t="s">
        <v>162</v>
      </c>
      <c r="B83" s="19" t="s">
        <v>164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20" t="n">
        <f aca="false">COUNTA(C83:AK83)</f>
        <v>0</v>
      </c>
      <c r="AM83" s="21" t="n">
        <f aca="false">COUNTA(C83:G83)</f>
        <v>0</v>
      </c>
      <c r="AN83" s="21" t="n">
        <f aca="false">COUNTA(H83:O83)</f>
        <v>0</v>
      </c>
      <c r="AO83" s="21" t="n">
        <f aca="false">COUNTA(P83:R83)</f>
        <v>0</v>
      </c>
      <c r="AP83" s="21" t="n">
        <f aca="false">COUNTA(S83:AK83)</f>
        <v>0</v>
      </c>
    </row>
    <row r="84" customFormat="false" ht="15" hidden="false" customHeight="false" outlineLevel="0" collapsed="false">
      <c r="A84" s="23" t="s">
        <v>162</v>
      </c>
      <c r="B84" s="19" t="s">
        <v>165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20" t="n">
        <f aca="false">COUNTA(C84:AK84)</f>
        <v>0</v>
      </c>
      <c r="AM84" s="21" t="n">
        <f aca="false">COUNTA(C84:G84)</f>
        <v>0</v>
      </c>
      <c r="AN84" s="21" t="n">
        <f aca="false">COUNTA(H84:O84)</f>
        <v>0</v>
      </c>
      <c r="AO84" s="21" t="n">
        <f aca="false">COUNTA(P84:R84)</f>
        <v>0</v>
      </c>
      <c r="AP84" s="21" t="n">
        <f aca="false">COUNTA(S84:AK84)</f>
        <v>0</v>
      </c>
    </row>
    <row r="85" customFormat="false" ht="15" hidden="false" customHeight="false" outlineLevel="0" collapsed="false">
      <c r="A85" s="23" t="s">
        <v>162</v>
      </c>
      <c r="B85" s="19" t="s">
        <v>166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20" t="n">
        <f aca="false">COUNTA(C85:AK85)</f>
        <v>0</v>
      </c>
      <c r="AM85" s="21" t="n">
        <f aca="false">COUNTA(C85:G85)</f>
        <v>0</v>
      </c>
      <c r="AN85" s="21" t="n">
        <f aca="false">COUNTA(H85:O85)</f>
        <v>0</v>
      </c>
      <c r="AO85" s="21" t="n">
        <f aca="false">COUNTA(P85:R85)</f>
        <v>0</v>
      </c>
      <c r="AP85" s="21" t="n">
        <f aca="false">COUNTA(S85:AK85)</f>
        <v>0</v>
      </c>
    </row>
    <row r="86" customFormat="false" ht="15" hidden="false" customHeight="false" outlineLevel="0" collapsed="false">
      <c r="A86" s="24" t="s">
        <v>167</v>
      </c>
      <c r="B86" s="19" t="s">
        <v>168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20" t="n">
        <f aca="false">COUNTA(C86:AK86)</f>
        <v>0</v>
      </c>
      <c r="AM86" s="21" t="n">
        <f aca="false">COUNTA(C86:G86)</f>
        <v>0</v>
      </c>
      <c r="AN86" s="21" t="n">
        <f aca="false">COUNTA(H86:O86)</f>
        <v>0</v>
      </c>
      <c r="AO86" s="21" t="n">
        <f aca="false">COUNTA(P86:R86)</f>
        <v>0</v>
      </c>
      <c r="AP86" s="21" t="n">
        <f aca="false">COUNTA(S86:AK86)</f>
        <v>0</v>
      </c>
    </row>
    <row r="87" customFormat="false" ht="15" hidden="false" customHeight="false" outlineLevel="0" collapsed="false">
      <c r="A87" s="24" t="s">
        <v>167</v>
      </c>
      <c r="B87" s="19" t="s">
        <v>169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20" t="n">
        <f aca="false">COUNTA(C87:AK87)</f>
        <v>0</v>
      </c>
      <c r="AM87" s="21" t="n">
        <f aca="false">COUNTA(C87:G87)</f>
        <v>0</v>
      </c>
      <c r="AN87" s="21" t="n">
        <f aca="false">COUNTA(H87:O87)</f>
        <v>0</v>
      </c>
      <c r="AO87" s="21" t="n">
        <f aca="false">COUNTA(P87:R87)</f>
        <v>0</v>
      </c>
      <c r="AP87" s="21" t="n">
        <f aca="false">COUNTA(S87:AK87)</f>
        <v>0</v>
      </c>
    </row>
    <row r="88" customFormat="false" ht="15" hidden="false" customHeight="false" outlineLevel="0" collapsed="false">
      <c r="A88" s="24" t="s">
        <v>167</v>
      </c>
      <c r="B88" s="19" t="s">
        <v>170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20" t="n">
        <f aca="false">COUNTA(C88:AK88)</f>
        <v>0</v>
      </c>
      <c r="AM88" s="21" t="n">
        <f aca="false">COUNTA(C88:G88)</f>
        <v>0</v>
      </c>
      <c r="AN88" s="21" t="n">
        <f aca="false">COUNTA(H88:O88)</f>
        <v>0</v>
      </c>
      <c r="AO88" s="21" t="n">
        <f aca="false">COUNTA(P88:R88)</f>
        <v>0</v>
      </c>
      <c r="AP88" s="21" t="n">
        <f aca="false">COUNTA(S88:AK88)</f>
        <v>0</v>
      </c>
    </row>
    <row r="89" customFormat="false" ht="15" hidden="false" customHeight="false" outlineLevel="0" collapsed="false">
      <c r="A89" s="24" t="s">
        <v>167</v>
      </c>
      <c r="B89" s="19" t="s">
        <v>171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20" t="n">
        <f aca="false">COUNTA(C89:AK89)</f>
        <v>0</v>
      </c>
      <c r="AM89" s="21" t="n">
        <f aca="false">COUNTA(C89:G89)</f>
        <v>0</v>
      </c>
      <c r="AN89" s="21" t="n">
        <f aca="false">COUNTA(H89:O89)</f>
        <v>0</v>
      </c>
      <c r="AO89" s="21" t="n">
        <f aca="false">COUNTA(P89:R89)</f>
        <v>0</v>
      </c>
      <c r="AP89" s="21" t="n">
        <f aca="false">COUNTA(S89:AK89)</f>
        <v>0</v>
      </c>
    </row>
    <row r="90" customFormat="false" ht="15" hidden="false" customHeight="false" outlineLevel="0" collapsed="false">
      <c r="A90" s="24" t="s">
        <v>167</v>
      </c>
      <c r="B90" s="19" t="s">
        <v>172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20" t="n">
        <f aca="false">COUNTA(C90:AK90)</f>
        <v>0</v>
      </c>
      <c r="AM90" s="21" t="n">
        <f aca="false">COUNTA(C90:G90)</f>
        <v>0</v>
      </c>
      <c r="AN90" s="21" t="n">
        <f aca="false">COUNTA(H90:O90)</f>
        <v>0</v>
      </c>
      <c r="AO90" s="21" t="n">
        <f aca="false">COUNTA(P90:R90)</f>
        <v>0</v>
      </c>
      <c r="AP90" s="21" t="n">
        <f aca="false">COUNTA(S90:AK90)</f>
        <v>0</v>
      </c>
    </row>
  </sheetData>
  <mergeCells count="1">
    <mergeCell ref="C2:E2"/>
  </mergeCells>
  <dataValidations count="1">
    <dataValidation allowBlank="true" errorStyle="stop" operator="between" showDropDown="false" showErrorMessage="false" showInputMessage="false" sqref="C7:AK9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45"/>
  </cols>
  <sheetData>
    <row r="1" customFormat="false" ht="17.35" hidden="false" customHeight="false" outlineLevel="0" collapsed="false">
      <c r="A1" s="11" t="s">
        <v>173</v>
      </c>
    </row>
    <row r="2" customFormat="false" ht="15" hidden="false" customHeight="false" outlineLevel="0" collapsed="false">
      <c r="A2" s="13" t="s">
        <v>174</v>
      </c>
    </row>
    <row r="4" customFormat="false" ht="31.5" hidden="false" customHeight="true" outlineLevel="0" collapsed="false">
      <c r="A4" s="7" t="s">
        <v>74</v>
      </c>
      <c r="B4" s="7" t="s">
        <v>175</v>
      </c>
      <c r="C4" s="7" t="s">
        <v>176</v>
      </c>
      <c r="D4" s="7" t="s">
        <v>177</v>
      </c>
      <c r="E4" s="7" t="s">
        <v>178</v>
      </c>
      <c r="F4" s="7" t="s">
        <v>179</v>
      </c>
      <c r="G4" s="7" t="s">
        <v>180</v>
      </c>
      <c r="H4" s="7" t="s">
        <v>181</v>
      </c>
      <c r="I4" s="7" t="s">
        <v>182</v>
      </c>
      <c r="J4" s="7" t="s">
        <v>183</v>
      </c>
      <c r="K4" s="7" t="s">
        <v>184</v>
      </c>
      <c r="L4" s="7" t="s">
        <v>185</v>
      </c>
      <c r="M4" s="7" t="s">
        <v>186</v>
      </c>
      <c r="N4" s="7" t="s">
        <v>163</v>
      </c>
      <c r="O4" s="7" t="s">
        <v>187</v>
      </c>
      <c r="P4" s="7" t="s">
        <v>188</v>
      </c>
    </row>
    <row r="5" customFormat="false" ht="15" hidden="false" customHeight="false" outlineLevel="0" collapsed="false">
      <c r="A5" s="29" t="n">
        <v>46296</v>
      </c>
      <c r="B5" s="30" t="n">
        <v>1</v>
      </c>
      <c r="C5" s="30" t="s">
        <v>189</v>
      </c>
      <c r="D5" s="30" t="n">
        <v>2</v>
      </c>
      <c r="E5" s="30" t="n">
        <v>2</v>
      </c>
      <c r="F5" s="30" t="n">
        <v>6</v>
      </c>
      <c r="G5" s="30" t="n">
        <v>6.5</v>
      </c>
      <c r="H5" s="30" t="n">
        <v>2</v>
      </c>
      <c r="I5" s="30" t="n">
        <v>6</v>
      </c>
      <c r="J5" s="30" t="n">
        <v>36.4</v>
      </c>
      <c r="K5" s="30" t="n">
        <v>62</v>
      </c>
      <c r="L5" s="30" t="s">
        <v>190</v>
      </c>
      <c r="M5" s="30" t="s">
        <v>190</v>
      </c>
      <c r="N5" s="30" t="s">
        <v>191</v>
      </c>
      <c r="O5" s="30" t="s">
        <v>192</v>
      </c>
      <c r="P5" s="31" t="s">
        <v>193</v>
      </c>
    </row>
    <row r="6" customFormat="false" ht="15" hidden="false" customHeight="false" outlineLevel="0" collapsed="false">
      <c r="A6" s="32"/>
      <c r="B6" s="33" t="str">
        <f aca="false">IF(OR(A6="",'Symptom Grid'!$C$2=""),"",A6-'Symptom Grid'!$C$2+1)</f>
        <v/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34"/>
    </row>
    <row r="7" customFormat="false" ht="15" hidden="false" customHeight="false" outlineLevel="0" collapsed="false">
      <c r="A7" s="32"/>
      <c r="B7" s="33" t="str">
        <f aca="false">IF(OR(A7="",'Symptom Grid'!$C$2=""),"",A7-'Symptom Grid'!$C$2+1)</f>
        <v/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34"/>
    </row>
    <row r="8" customFormat="false" ht="15" hidden="false" customHeight="false" outlineLevel="0" collapsed="false">
      <c r="A8" s="32"/>
      <c r="B8" s="33" t="str">
        <f aca="false">IF(OR(A8="",'Symptom Grid'!$C$2=""),"",A8-'Symptom Grid'!$C$2+1)</f>
        <v/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34"/>
    </row>
    <row r="9" customFormat="false" ht="15" hidden="false" customHeight="false" outlineLevel="0" collapsed="false">
      <c r="A9" s="32"/>
      <c r="B9" s="33" t="str">
        <f aca="false">IF(OR(A9="",'Symptom Grid'!$C$2=""),"",A9-'Symptom Grid'!$C$2+1)</f>
        <v/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34"/>
    </row>
    <row r="10" customFormat="false" ht="15" hidden="false" customHeight="false" outlineLevel="0" collapsed="false">
      <c r="A10" s="32"/>
      <c r="B10" s="33" t="str">
        <f aca="false">IF(OR(A10="",'Symptom Grid'!$C$2=""),"",A10-'Symptom Grid'!$C$2+1)</f>
        <v/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34"/>
    </row>
    <row r="11" customFormat="false" ht="15" hidden="false" customHeight="false" outlineLevel="0" collapsed="false">
      <c r="A11" s="32"/>
      <c r="B11" s="33" t="str">
        <f aca="false">IF(OR(A11="",'Symptom Grid'!$C$2=""),"",A11-'Symptom Grid'!$C$2+1)</f>
        <v/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34"/>
    </row>
    <row r="12" customFormat="false" ht="15" hidden="false" customHeight="false" outlineLevel="0" collapsed="false">
      <c r="A12" s="32"/>
      <c r="B12" s="33" t="str">
        <f aca="false">IF(OR(A12="",'Symptom Grid'!$C$2=""),"",A12-'Symptom Grid'!$C$2+1)</f>
        <v/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34"/>
    </row>
    <row r="13" customFormat="false" ht="15" hidden="false" customHeight="false" outlineLevel="0" collapsed="false">
      <c r="A13" s="32"/>
      <c r="B13" s="33" t="str">
        <f aca="false">IF(OR(A13="",'Symptom Grid'!$C$2=""),"",A13-'Symptom Grid'!$C$2+1)</f>
        <v/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34"/>
    </row>
    <row r="14" customFormat="false" ht="15" hidden="false" customHeight="false" outlineLevel="0" collapsed="false">
      <c r="A14" s="32"/>
      <c r="B14" s="33" t="str">
        <f aca="false">IF(OR(A14="",'Symptom Grid'!$C$2=""),"",A14-'Symptom Grid'!$C$2+1)</f>
        <v/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34"/>
    </row>
    <row r="15" customFormat="false" ht="15" hidden="false" customHeight="false" outlineLevel="0" collapsed="false">
      <c r="A15" s="32"/>
      <c r="B15" s="33" t="str">
        <f aca="false">IF(OR(A15="",'Symptom Grid'!$C$2=""),"",A15-'Symptom Grid'!$C$2+1)</f>
        <v/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34"/>
    </row>
    <row r="16" customFormat="false" ht="15" hidden="false" customHeight="false" outlineLevel="0" collapsed="false">
      <c r="A16" s="32"/>
      <c r="B16" s="33" t="str">
        <f aca="false">IF(OR(A16="",'Symptom Grid'!$C$2=""),"",A16-'Symptom Grid'!$C$2+1)</f>
        <v/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34"/>
    </row>
    <row r="17" customFormat="false" ht="15" hidden="false" customHeight="false" outlineLevel="0" collapsed="false">
      <c r="A17" s="32"/>
      <c r="B17" s="33" t="str">
        <f aca="false">IF(OR(A17="",'Symptom Grid'!$C$2=""),"",A17-'Symptom Grid'!$C$2+1)</f>
        <v/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34"/>
    </row>
    <row r="18" customFormat="false" ht="15" hidden="false" customHeight="false" outlineLevel="0" collapsed="false">
      <c r="A18" s="32"/>
      <c r="B18" s="33" t="str">
        <f aca="false">IF(OR(A18="",'Symptom Grid'!$C$2=""),"",A18-'Symptom Grid'!$C$2+1)</f>
        <v/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34"/>
    </row>
    <row r="19" customFormat="false" ht="15" hidden="false" customHeight="false" outlineLevel="0" collapsed="false">
      <c r="A19" s="32"/>
      <c r="B19" s="33" t="str">
        <f aca="false">IF(OR(A19="",'Symptom Grid'!$C$2=""),"",A19-'Symptom Grid'!$C$2+1)</f>
        <v/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34"/>
    </row>
    <row r="20" customFormat="false" ht="15" hidden="false" customHeight="false" outlineLevel="0" collapsed="false">
      <c r="A20" s="32"/>
      <c r="B20" s="33" t="str">
        <f aca="false">IF(OR(A20="",'Symptom Grid'!$C$2=""),"",A20-'Symptom Grid'!$C$2+1)</f>
        <v/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34"/>
    </row>
    <row r="21" customFormat="false" ht="15" hidden="false" customHeight="false" outlineLevel="0" collapsed="false">
      <c r="A21" s="32"/>
      <c r="B21" s="33" t="str">
        <f aca="false">IF(OR(A21="",'Symptom Grid'!$C$2=""),"",A21-'Symptom Grid'!$C$2+1)</f>
        <v/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34"/>
    </row>
    <row r="22" customFormat="false" ht="15" hidden="false" customHeight="false" outlineLevel="0" collapsed="false">
      <c r="A22" s="32"/>
      <c r="B22" s="33" t="str">
        <f aca="false">IF(OR(A22="",'Symptom Grid'!$C$2=""),"",A22-'Symptom Grid'!$C$2+1)</f>
        <v/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34"/>
    </row>
    <row r="23" customFormat="false" ht="15" hidden="false" customHeight="false" outlineLevel="0" collapsed="false">
      <c r="A23" s="32"/>
      <c r="B23" s="33" t="str">
        <f aca="false">IF(OR(A23="",'Symptom Grid'!$C$2=""),"",A23-'Symptom Grid'!$C$2+1)</f>
        <v/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34"/>
    </row>
    <row r="24" customFormat="false" ht="15" hidden="false" customHeight="false" outlineLevel="0" collapsed="false">
      <c r="A24" s="32"/>
      <c r="B24" s="33" t="str">
        <f aca="false">IF(OR(A24="",'Symptom Grid'!$C$2=""),"",A24-'Symptom Grid'!$C$2+1)</f>
        <v/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34"/>
    </row>
    <row r="25" customFormat="false" ht="15" hidden="false" customHeight="false" outlineLevel="0" collapsed="false">
      <c r="A25" s="32"/>
      <c r="B25" s="33" t="str">
        <f aca="false">IF(OR(A25="",'Symptom Grid'!$C$2=""),"",A25-'Symptom Grid'!$C$2+1)</f>
        <v/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34"/>
    </row>
    <row r="26" customFormat="false" ht="15" hidden="false" customHeight="false" outlineLevel="0" collapsed="false">
      <c r="A26" s="32"/>
      <c r="B26" s="33" t="str">
        <f aca="false">IF(OR(A26="",'Symptom Grid'!$C$2=""),"",A26-'Symptom Grid'!$C$2+1)</f>
        <v/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34"/>
    </row>
    <row r="27" customFormat="false" ht="15" hidden="false" customHeight="false" outlineLevel="0" collapsed="false">
      <c r="A27" s="32"/>
      <c r="B27" s="33" t="str">
        <f aca="false">IF(OR(A27="",'Symptom Grid'!$C$2=""),"",A27-'Symptom Grid'!$C$2+1)</f>
        <v/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34"/>
    </row>
    <row r="28" customFormat="false" ht="15" hidden="false" customHeight="false" outlineLevel="0" collapsed="false">
      <c r="A28" s="32"/>
      <c r="B28" s="33" t="str">
        <f aca="false">IF(OR(A28="",'Symptom Grid'!$C$2=""),"",A28-'Symptom Grid'!$C$2+1)</f>
        <v/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34"/>
    </row>
    <row r="29" customFormat="false" ht="15" hidden="false" customHeight="false" outlineLevel="0" collapsed="false">
      <c r="A29" s="32"/>
      <c r="B29" s="33" t="str">
        <f aca="false">IF(OR(A29="",'Symptom Grid'!$C$2=""),"",A29-'Symptom Grid'!$C$2+1)</f>
        <v/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34"/>
    </row>
    <row r="30" customFormat="false" ht="15" hidden="false" customHeight="false" outlineLevel="0" collapsed="false">
      <c r="A30" s="32"/>
      <c r="B30" s="33" t="str">
        <f aca="false">IF(OR(A30="",'Symptom Grid'!$C$2=""),"",A30-'Symptom Grid'!$C$2+1)</f>
        <v/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34"/>
    </row>
    <row r="31" customFormat="false" ht="15" hidden="false" customHeight="false" outlineLevel="0" collapsed="false">
      <c r="A31" s="32"/>
      <c r="B31" s="33" t="str">
        <f aca="false">IF(OR(A31="",'Symptom Grid'!$C$2=""),"",A31-'Symptom Grid'!$C$2+1)</f>
        <v/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34"/>
    </row>
    <row r="32" customFormat="false" ht="15" hidden="false" customHeight="false" outlineLevel="0" collapsed="false">
      <c r="A32" s="32"/>
      <c r="B32" s="33" t="str">
        <f aca="false">IF(OR(A32="",'Symptom Grid'!$C$2=""),"",A32-'Symptom Grid'!$C$2+1)</f>
        <v/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34"/>
    </row>
    <row r="33" customFormat="false" ht="15" hidden="false" customHeight="false" outlineLevel="0" collapsed="false">
      <c r="A33" s="32"/>
      <c r="B33" s="33" t="str">
        <f aca="false">IF(OR(A33="",'Symptom Grid'!$C$2=""),"",A33-'Symptom Grid'!$C$2+1)</f>
        <v/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34"/>
    </row>
    <row r="34" customFormat="false" ht="15" hidden="false" customHeight="false" outlineLevel="0" collapsed="false">
      <c r="A34" s="32"/>
      <c r="B34" s="33" t="str">
        <f aca="false">IF(OR(A34="",'Symptom Grid'!$C$2=""),"",A34-'Symptom Grid'!$C$2+1)</f>
        <v/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34"/>
    </row>
    <row r="35" customFormat="false" ht="15" hidden="false" customHeight="false" outlineLevel="0" collapsed="false">
      <c r="A35" s="32"/>
      <c r="B35" s="33" t="str">
        <f aca="false">IF(OR(A35="",'Symptom Grid'!$C$2=""),"",A35-'Symptom Grid'!$C$2+1)</f>
        <v/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34"/>
    </row>
    <row r="36" customFormat="false" ht="15" hidden="false" customHeight="false" outlineLevel="0" collapsed="false">
      <c r="A36" s="32"/>
      <c r="B36" s="33" t="str">
        <f aca="false">IF(OR(A36="",'Symptom Grid'!$C$2=""),"",A36-'Symptom Grid'!$C$2+1)</f>
        <v/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34"/>
    </row>
    <row r="37" customFormat="false" ht="15" hidden="false" customHeight="false" outlineLevel="0" collapsed="false">
      <c r="A37" s="32"/>
      <c r="B37" s="33" t="str">
        <f aca="false">IF(OR(A37="",'Symptom Grid'!$C$2=""),"",A37-'Symptom Grid'!$C$2+1)</f>
        <v/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34"/>
    </row>
    <row r="38" customFormat="false" ht="15" hidden="false" customHeight="false" outlineLevel="0" collapsed="false">
      <c r="A38" s="32"/>
      <c r="B38" s="33" t="str">
        <f aca="false">IF(OR(A38="",'Symptom Grid'!$C$2=""),"",A38-'Symptom Grid'!$C$2+1)</f>
        <v/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34"/>
    </row>
    <row r="39" customFormat="false" ht="15" hidden="false" customHeight="false" outlineLevel="0" collapsed="false">
      <c r="A39" s="32"/>
      <c r="B39" s="33" t="str">
        <f aca="false">IF(OR(A39="",'Symptom Grid'!$C$2=""),"",A39-'Symptom Grid'!$C$2+1)</f>
        <v/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34"/>
    </row>
    <row r="40" customFormat="false" ht="15" hidden="false" customHeight="false" outlineLevel="0" collapsed="false">
      <c r="A40" s="32"/>
      <c r="B40" s="33" t="str">
        <f aca="false">IF(OR(A40="",'Symptom Grid'!$C$2=""),"",A40-'Symptom Grid'!$C$2+1)</f>
        <v/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34"/>
    </row>
    <row r="41" customFormat="false" ht="15" hidden="false" customHeight="false" outlineLevel="0" collapsed="false">
      <c r="A41" s="32"/>
      <c r="B41" s="33" t="str">
        <f aca="false">IF(OR(A41="",'Symptom Grid'!$C$2=""),"",A41-'Symptom Grid'!$C$2+1)</f>
        <v/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34"/>
    </row>
    <row r="42" customFormat="false" ht="15" hidden="false" customHeight="false" outlineLevel="0" collapsed="false">
      <c r="A42" s="32"/>
      <c r="B42" s="33" t="str">
        <f aca="false">IF(OR(A42="",'Symptom Grid'!$C$2=""),"",A42-'Symptom Grid'!$C$2+1)</f>
        <v/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34"/>
    </row>
    <row r="43" customFormat="false" ht="15" hidden="false" customHeight="false" outlineLevel="0" collapsed="false">
      <c r="A43" s="32"/>
      <c r="B43" s="33" t="str">
        <f aca="false">IF(OR(A43="",'Symptom Grid'!$C$2=""),"",A43-'Symptom Grid'!$C$2+1)</f>
        <v/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34"/>
    </row>
    <row r="44" customFormat="false" ht="15" hidden="false" customHeight="false" outlineLevel="0" collapsed="false">
      <c r="A44" s="32"/>
      <c r="B44" s="33" t="str">
        <f aca="false">IF(OR(A44="",'Symptom Grid'!$C$2=""),"",A44-'Symptom Grid'!$C$2+1)</f>
        <v/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34"/>
    </row>
    <row r="45" customFormat="false" ht="15" hidden="false" customHeight="false" outlineLevel="0" collapsed="false">
      <c r="A45" s="32"/>
      <c r="B45" s="33" t="str">
        <f aca="false">IF(OR(A45="",'Symptom Grid'!$C$2=""),"",A45-'Symptom Grid'!$C$2+1)</f>
        <v/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34"/>
    </row>
    <row r="46" customFormat="false" ht="15" hidden="false" customHeight="false" outlineLevel="0" collapsed="false">
      <c r="A46" s="32"/>
      <c r="B46" s="33" t="str">
        <f aca="false">IF(OR(A46="",'Symptom Grid'!$C$2=""),"",A46-'Symptom Grid'!$C$2+1)</f>
        <v/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34"/>
    </row>
    <row r="47" customFormat="false" ht="15" hidden="false" customHeight="false" outlineLevel="0" collapsed="false">
      <c r="A47" s="32"/>
      <c r="B47" s="33" t="str">
        <f aca="false">IF(OR(A47="",'Symptom Grid'!$C$2=""),"",A47-'Symptom Grid'!$C$2+1)</f>
        <v/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34"/>
    </row>
    <row r="48" customFormat="false" ht="15" hidden="false" customHeight="false" outlineLevel="0" collapsed="false">
      <c r="A48" s="32"/>
      <c r="B48" s="33" t="str">
        <f aca="false">IF(OR(A48="",'Symptom Grid'!$C$2=""),"",A48-'Symptom Grid'!$C$2+1)</f>
        <v/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34"/>
    </row>
    <row r="49" customFormat="false" ht="15" hidden="false" customHeight="false" outlineLevel="0" collapsed="false">
      <c r="A49" s="32"/>
      <c r="B49" s="33" t="str">
        <f aca="false">IF(OR(A49="",'Symptom Grid'!$C$2=""),"",A49-'Symptom Grid'!$C$2+1)</f>
        <v/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34"/>
    </row>
    <row r="50" customFormat="false" ht="15" hidden="false" customHeight="false" outlineLevel="0" collapsed="false">
      <c r="A50" s="32"/>
      <c r="B50" s="33" t="str">
        <f aca="false">IF(OR(A50="",'Symptom Grid'!$C$2=""),"",A50-'Symptom Grid'!$C$2+1)</f>
        <v/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34"/>
    </row>
    <row r="51" customFormat="false" ht="15" hidden="false" customHeight="false" outlineLevel="0" collapsed="false">
      <c r="A51" s="32"/>
      <c r="B51" s="33" t="str">
        <f aca="false">IF(OR(A51="",'Symptom Grid'!$C$2=""),"",A51-'Symptom Grid'!$C$2+1)</f>
        <v/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34"/>
    </row>
    <row r="52" customFormat="false" ht="15" hidden="false" customHeight="false" outlineLevel="0" collapsed="false">
      <c r="A52" s="32"/>
      <c r="B52" s="33" t="str">
        <f aca="false">IF(OR(A52="",'Symptom Grid'!$C$2=""),"",A52-'Symptom Grid'!$C$2+1)</f>
        <v/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34"/>
    </row>
    <row r="53" customFormat="false" ht="15" hidden="false" customHeight="false" outlineLevel="0" collapsed="false">
      <c r="A53" s="32"/>
      <c r="B53" s="33" t="str">
        <f aca="false">IF(OR(A53="",'Symptom Grid'!$C$2=""),"",A53-'Symptom Grid'!$C$2+1)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34"/>
    </row>
    <row r="54" customFormat="false" ht="15" hidden="false" customHeight="false" outlineLevel="0" collapsed="false">
      <c r="A54" s="32"/>
      <c r="B54" s="33" t="str">
        <f aca="false">IF(OR(A54="",'Symptom Grid'!$C$2=""),"",A54-'Symptom Grid'!$C$2+1)</f>
        <v/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34"/>
    </row>
    <row r="55" customFormat="false" ht="15" hidden="false" customHeight="false" outlineLevel="0" collapsed="false">
      <c r="A55" s="32"/>
      <c r="B55" s="33" t="str">
        <f aca="false">IF(OR(A55="",'Symptom Grid'!$C$2=""),"",A55-'Symptom Grid'!$C$2+1)</f>
        <v/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34"/>
    </row>
    <row r="56" customFormat="false" ht="15" hidden="false" customHeight="false" outlineLevel="0" collapsed="false">
      <c r="A56" s="32"/>
      <c r="B56" s="33" t="str">
        <f aca="false">IF(OR(A56="",'Symptom Grid'!$C$2=""),"",A56-'Symptom Grid'!$C$2+1)</f>
        <v/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34"/>
    </row>
    <row r="57" customFormat="false" ht="15" hidden="false" customHeight="false" outlineLevel="0" collapsed="false">
      <c r="A57" s="32"/>
      <c r="B57" s="33" t="str">
        <f aca="false">IF(OR(A57="",'Symptom Grid'!$C$2=""),"",A57-'Symptom Grid'!$C$2+1)</f>
        <v/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34"/>
    </row>
    <row r="58" customFormat="false" ht="15" hidden="false" customHeight="false" outlineLevel="0" collapsed="false">
      <c r="A58" s="32"/>
      <c r="B58" s="33" t="str">
        <f aca="false">IF(OR(A58="",'Symptom Grid'!$C$2=""),"",A58-'Symptom Grid'!$C$2+1)</f>
        <v/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34"/>
    </row>
    <row r="59" customFormat="false" ht="15" hidden="false" customHeight="false" outlineLevel="0" collapsed="false">
      <c r="A59" s="32"/>
      <c r="B59" s="33" t="str">
        <f aca="false">IF(OR(A59="",'Symptom Grid'!$C$2=""),"",A59-'Symptom Grid'!$C$2+1)</f>
        <v/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34"/>
    </row>
    <row r="60" customFormat="false" ht="15" hidden="false" customHeight="false" outlineLevel="0" collapsed="false">
      <c r="A60" s="32"/>
      <c r="B60" s="33" t="str">
        <f aca="false">IF(OR(A60="",'Symptom Grid'!$C$2=""),"",A60-'Symptom Grid'!$C$2+1)</f>
        <v/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34"/>
    </row>
    <row r="61" customFormat="false" ht="15" hidden="false" customHeight="false" outlineLevel="0" collapsed="false">
      <c r="A61" s="32"/>
      <c r="B61" s="33" t="str">
        <f aca="false">IF(OR(A61="",'Symptom Grid'!$C$2=""),"",A61-'Symptom Grid'!$C$2+1)</f>
        <v/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34"/>
    </row>
    <row r="62" customFormat="false" ht="15" hidden="false" customHeight="false" outlineLevel="0" collapsed="false">
      <c r="A62" s="32"/>
      <c r="B62" s="33" t="str">
        <f aca="false">IF(OR(A62="",'Symptom Grid'!$C$2=""),"",A62-'Symptom Grid'!$C$2+1)</f>
        <v/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34"/>
    </row>
    <row r="63" customFormat="false" ht="15" hidden="false" customHeight="false" outlineLevel="0" collapsed="false">
      <c r="A63" s="32"/>
      <c r="B63" s="33" t="str">
        <f aca="false">IF(OR(A63="",'Symptom Grid'!$C$2=""),"",A63-'Symptom Grid'!$C$2+1)</f>
        <v/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34"/>
    </row>
    <row r="64" customFormat="false" ht="15" hidden="false" customHeight="false" outlineLevel="0" collapsed="false">
      <c r="A64" s="32"/>
      <c r="B64" s="33" t="str">
        <f aca="false">IF(OR(A64="",'Symptom Grid'!$C$2=""),"",A64-'Symptom Grid'!$C$2+1)</f>
        <v/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34"/>
    </row>
    <row r="65" customFormat="false" ht="15" hidden="false" customHeight="false" outlineLevel="0" collapsed="false">
      <c r="A65" s="32"/>
      <c r="B65" s="33" t="str">
        <f aca="false">IF(OR(A65="",'Symptom Grid'!$C$2=""),"",A65-'Symptom Grid'!$C$2+1)</f>
        <v/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34"/>
    </row>
  </sheetData>
  <dataValidations count="5">
    <dataValidation allowBlank="true" errorStyle="stop" operator="between" showDropDown="false" showErrorMessage="false" showInputMessage="false" sqref="C6:C65" type="list">
      <formula1>"None,Spotting,Light,Medium,Heavy"</formula1>
      <formula2>0</formula2>
    </dataValidation>
    <dataValidation allowBlank="true" errorStyle="stop" operator="between" showDropDown="false" showErrorMessage="false" showInputMessage="false" sqref="L6:L65" type="list">
      <formula1>"None,Dry,Sticky,Creamy,Watery,Egg white,Unusual"</formula1>
      <formula2>0</formula2>
    </dataValidation>
    <dataValidation allowBlank="true" errorStyle="stop" operator="between" showDropDown="false" showErrorMessage="false" showInputMessage="false" sqref="M6:M65" type="list">
      <formula1>"None,Protected,Unprotected"</formula1>
      <formula2>0</formula2>
    </dataValidation>
    <dataValidation allowBlank="true" errorStyle="stop" operator="between" showDropDown="false" showErrorMessage="false" showInputMessage="false" sqref="D6:E65 H6:H65" type="whole">
      <formula1>1</formula1>
      <formula2>5</formula2>
    </dataValidation>
    <dataValidation allowBlank="true" errorStyle="stop" operator="between" showDropDown="false" showErrorMessage="false" showInputMessage="false" sqref="F6:F65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2026-09-30T17:39:23Z</dcterms:created>
  <dc:creator>openpyxl</dc:creator>
  <dc:description/>
  <dc:language>en-US</dc:language>
  <cp:lastModifiedBy/>
  <dcterms:modified xsi:type="dcterms:W3CDTF">2026-09-30T17:39:23Z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